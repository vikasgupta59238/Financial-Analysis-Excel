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b4d4829d12a11030/Desktop/excel project solve coach x/"/>
    </mc:Choice>
  </mc:AlternateContent>
  <xr:revisionPtr revIDLastSave="0" documentId="8_{C4187750-3C30-4387-A7DD-048673AD4D4D}" xr6:coauthVersionLast="47" xr6:coauthVersionMax="47" xr10:uidLastSave="{00000000-0000-0000-0000-000000000000}"/>
  <bookViews>
    <workbookView xWindow="-110" yWindow="-110" windowWidth="19420" windowHeight="10300" xr2:uid="{00000000-000D-0000-FFFF-FFFF00000000}"/>
  </bookViews>
  <sheets>
    <sheet name="Project Information" sheetId="1" r:id="rId1"/>
    <sheet name="Project Worksheet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50" i="2" l="1"/>
  <c r="B151" i="2"/>
  <c r="B152" i="2"/>
  <c r="B153" i="2"/>
  <c r="B149" i="2"/>
  <c r="B155" i="2"/>
  <c r="B136" i="2"/>
  <c r="C136" i="2"/>
  <c r="C119" i="2"/>
  <c r="C120" i="2"/>
  <c r="C121" i="2"/>
  <c r="C122" i="2"/>
  <c r="C123" i="2"/>
  <c r="C124" i="2"/>
  <c r="C125" i="2"/>
  <c r="C126" i="2"/>
  <c r="C127" i="2"/>
  <c r="C118" i="2"/>
  <c r="C105" i="2"/>
  <c r="C106" i="2"/>
  <c r="C107" i="2"/>
  <c r="C108" i="2"/>
  <c r="C109" i="2"/>
  <c r="C110" i="2"/>
  <c r="C111" i="2"/>
  <c r="C112" i="2"/>
  <c r="C113" i="2"/>
  <c r="C104" i="2"/>
  <c r="E92" i="2"/>
  <c r="E91" i="2"/>
  <c r="E90" i="2"/>
  <c r="E93" i="2"/>
  <c r="E94" i="2"/>
  <c r="E95" i="2"/>
  <c r="E96" i="2"/>
  <c r="E97" i="2"/>
  <c r="E98" i="2"/>
  <c r="E99" i="2"/>
  <c r="C77" i="2"/>
  <c r="C78" i="2"/>
  <c r="C79" i="2"/>
  <c r="C80" i="2"/>
  <c r="C81" i="2"/>
  <c r="C82" i="2"/>
  <c r="C83" i="2"/>
  <c r="C84" i="2"/>
  <c r="C76" i="2"/>
  <c r="E73" i="2"/>
  <c r="B73" i="2"/>
  <c r="C60" i="2"/>
  <c r="B60" i="2"/>
  <c r="C59" i="2"/>
  <c r="B59" i="2"/>
  <c r="C58" i="2"/>
  <c r="B58" i="2"/>
  <c r="C56" i="2"/>
  <c r="B56" i="2"/>
  <c r="B46" i="2"/>
  <c r="B40" i="2"/>
  <c r="D24" i="2"/>
  <c r="E29" i="2"/>
  <c r="D21" i="2"/>
  <c r="D29" i="2"/>
  <c r="D30" i="2"/>
  <c r="E30" i="2"/>
  <c r="D31" i="2"/>
  <c r="E31" i="2"/>
  <c r="D32" i="2"/>
  <c r="E32" i="2"/>
  <c r="D33" i="2"/>
  <c r="E33" i="2"/>
  <c r="D34" i="2"/>
  <c r="E34" i="2"/>
  <c r="D35" i="2"/>
  <c r="E35" i="2"/>
  <c r="F28" i="2"/>
  <c r="E28" i="2"/>
  <c r="D28" i="2"/>
  <c r="B25" i="2"/>
  <c r="C30" i="2" s="1"/>
  <c r="E17" i="2"/>
  <c r="B18" i="2"/>
  <c r="E7" i="2"/>
  <c r="B7" i="2"/>
  <c r="A95" i="2"/>
  <c r="B28" i="2"/>
  <c r="A29" i="2"/>
  <c r="A30" i="2" s="1"/>
  <c r="A31" i="2" s="1"/>
  <c r="A32" i="2" s="1"/>
  <c r="A33" i="2" s="1"/>
  <c r="A34" i="2" s="1"/>
  <c r="A35" i="2" s="1"/>
  <c r="E12" i="2"/>
  <c r="B14" i="2"/>
  <c r="B12" i="2"/>
  <c r="F29" i="2" l="1"/>
  <c r="C29" i="2"/>
  <c r="C33" i="2"/>
  <c r="B29" i="2"/>
  <c r="B30" i="2" s="1"/>
  <c r="C28" i="2"/>
  <c r="C32" i="2"/>
  <c r="C35" i="2"/>
  <c r="C34" i="2"/>
  <c r="C31" i="2"/>
  <c r="F30" i="2" l="1"/>
  <c r="B31" i="2" s="1"/>
  <c r="F31" i="2" l="1"/>
  <c r="B32" i="2" s="1"/>
  <c r="F32" i="2" s="1"/>
  <c r="B33" i="2" s="1"/>
  <c r="F33" i="2" l="1"/>
  <c r="B34" i="2" s="1"/>
  <c r="F34" i="2" l="1"/>
  <c r="B35" i="2" s="1"/>
  <c r="F35" i="2" s="1"/>
</calcChain>
</file>

<file path=xl/sharedStrings.xml><?xml version="1.0" encoding="utf-8"?>
<sst xmlns="http://schemas.openxmlformats.org/spreadsheetml/2006/main" count="103" uniqueCount="51">
  <si>
    <t>Price</t>
  </si>
  <si>
    <t>Interest Rate</t>
  </si>
  <si>
    <t>No. of payments</t>
  </si>
  <si>
    <t>Payments at end of the year</t>
  </si>
  <si>
    <t>PV</t>
  </si>
  <si>
    <t>Payment</t>
  </si>
  <si>
    <t>Annuity</t>
  </si>
  <si>
    <t>Rate per annum</t>
  </si>
  <si>
    <t>Rate per month</t>
  </si>
  <si>
    <t>Term</t>
  </si>
  <si>
    <t>No. of monthly payments</t>
  </si>
  <si>
    <t>Loan Amount (PV)</t>
  </si>
  <si>
    <t>FV</t>
  </si>
  <si>
    <t>Type</t>
  </si>
  <si>
    <t>EMI</t>
  </si>
  <si>
    <t>No. of monthly payment</t>
  </si>
  <si>
    <t>Month</t>
  </si>
  <si>
    <t>Beginning Balance</t>
  </si>
  <si>
    <t>Interest</t>
  </si>
  <si>
    <t>Principal</t>
  </si>
  <si>
    <t>Ending Balance</t>
  </si>
  <si>
    <t>Interest paid between 2nd and 3rd months</t>
  </si>
  <si>
    <t>Principal paid between 2nd and 3rd months</t>
  </si>
  <si>
    <t>Loan Amount</t>
  </si>
  <si>
    <t>No.of monthly payment</t>
  </si>
  <si>
    <t>Term Loan</t>
  </si>
  <si>
    <t>Cash Flow</t>
  </si>
  <si>
    <t>Time</t>
  </si>
  <si>
    <t>Investement 1</t>
  </si>
  <si>
    <t>Investement 2</t>
  </si>
  <si>
    <t>Total</t>
  </si>
  <si>
    <t>NPV (End Year)</t>
  </si>
  <si>
    <t>NPV (Beginning Year)</t>
  </si>
  <si>
    <t>NPV (Middle Year)</t>
  </si>
  <si>
    <t>Date</t>
  </si>
  <si>
    <t>NPV</t>
  </si>
  <si>
    <t>Decision on Investments</t>
  </si>
  <si>
    <t>Cash Flows</t>
  </si>
  <si>
    <t>IRR</t>
  </si>
  <si>
    <t>Guess</t>
  </si>
  <si>
    <t>Year</t>
  </si>
  <si>
    <t>Project A</t>
  </si>
  <si>
    <t>Project B</t>
  </si>
  <si>
    <t>8/15/2015</t>
  </si>
  <si>
    <t>3/15/2016</t>
  </si>
  <si>
    <t>4/25/2016</t>
  </si>
  <si>
    <t>XIRR</t>
  </si>
  <si>
    <t>Finance rate</t>
  </si>
  <si>
    <t>Reinvestment Rate</t>
  </si>
  <si>
    <t>Discount</t>
  </si>
  <si>
    <t>MIRR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</si>
</sst>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 #,##0;[Red]&quot;₹&quot;\ \-#,##0"/>
    <numFmt numFmtId="165" formatCode="&quot;₹&quot;\ #,##0.00;[Red]&quot;₹&quot;\ \-#,##0.00"/>
    <numFmt numFmtId="166" formatCode="dd\/mmm\/yyyy"/>
    <numFmt numFmtId="167" formatCode="d\/m\/yyyy"/>
  </numFmts>
  <fonts count="6" x14ac:knownFonts="1">
    <font>
      <sz val="11"/>
      <color theme="1"/>
      <name val="Calibri"/>
      <family val="2"/>
      <scheme val="minor"/>
    </font>
    <font>
      <b/>
      <sz val="11"/>
      <color theme="1"/>
      <name val="Calibri"/>
      <family val="2"/>
      <scheme val="minor"/>
    </font>
    <font>
      <b/>
      <sz val="11"/>
      <color rgb="FFFFFF00"/>
      <name val="Calibri"/>
      <family val="2"/>
      <scheme val="minor"/>
    </font>
    <font>
      <sz val="11"/>
      <color rgb="FFFFFF00"/>
      <name val="Calibri"/>
      <family val="2"/>
      <scheme val="minor"/>
    </font>
    <font>
      <b/>
      <sz val="14"/>
      <color rgb="FFFFFF00"/>
      <name val="Calibri"/>
      <family val="2"/>
      <scheme val="minor"/>
    </font>
    <font>
      <b/>
      <sz val="12"/>
      <color rgb="FFFFFF00"/>
      <name val="Calibri"/>
      <family val="2"/>
      <scheme val="minor"/>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s>
  <cellStyleXfs count="1">
    <xf numFmtId="0" fontId="0" fillId="0" borderId="0"/>
  </cellStyleXfs>
  <cellXfs count="94">
    <xf numFmtId="0" fontId="0" fillId="0" borderId="0" xfId="0"/>
    <xf numFmtId="0" fontId="0" fillId="0" borderId="0" xfId="0" applyAlignment="1">
      <alignment horizontal="center"/>
    </xf>
    <xf numFmtId="0" fontId="0" fillId="0" borderId="1" xfId="0" applyBorder="1" applyAlignment="1">
      <alignment horizontal="center"/>
    </xf>
    <xf numFmtId="165" fontId="0" fillId="0" borderId="1" xfId="0" applyNumberFormat="1" applyBorder="1" applyAlignment="1">
      <alignment horizontal="center"/>
    </xf>
    <xf numFmtId="0" fontId="1" fillId="0" borderId="1" xfId="0" applyFont="1" applyBorder="1" applyAlignment="1">
      <alignment horizontal="center"/>
    </xf>
    <xf numFmtId="164" fontId="2" fillId="2" borderId="1" xfId="0" applyNumberFormat="1" applyFont="1" applyFill="1" applyBorder="1" applyAlignment="1">
      <alignment horizontal="center"/>
    </xf>
    <xf numFmtId="0" fontId="1" fillId="0" borderId="3" xfId="0" applyFont="1" applyBorder="1" applyAlignment="1">
      <alignment horizontal="center"/>
    </xf>
    <xf numFmtId="0" fontId="0" fillId="0" borderId="3" xfId="0" applyBorder="1" applyAlignment="1">
      <alignment horizontal="center"/>
    </xf>
    <xf numFmtId="165" fontId="2" fillId="2" borderId="1" xfId="0" applyNumberFormat="1" applyFont="1" applyFill="1" applyBorder="1" applyAlignment="1">
      <alignment horizontal="center"/>
    </xf>
    <xf numFmtId="0" fontId="0" fillId="0" borderId="9" xfId="0" applyBorder="1" applyAlignment="1">
      <alignment horizontal="center"/>
    </xf>
    <xf numFmtId="0" fontId="0" fillId="0" borderId="11" xfId="0" applyBorder="1" applyAlignment="1">
      <alignment horizontal="center"/>
    </xf>
    <xf numFmtId="165" fontId="0" fillId="0" borderId="12" xfId="0" applyNumberFormat="1" applyBorder="1" applyAlignment="1">
      <alignment horizontal="center"/>
    </xf>
    <xf numFmtId="0" fontId="0" fillId="0" borderId="14" xfId="0" applyBorder="1" applyAlignment="1">
      <alignment horizontal="center"/>
    </xf>
    <xf numFmtId="165" fontId="0" fillId="0" borderId="3" xfId="0" applyNumberFormat="1" applyBorder="1" applyAlignment="1">
      <alignment horizontal="center"/>
    </xf>
    <xf numFmtId="165" fontId="0" fillId="0" borderId="15" xfId="0" applyNumberFormat="1" applyBorder="1" applyAlignment="1">
      <alignment horizontal="center"/>
    </xf>
    <xf numFmtId="0" fontId="3" fillId="2" borderId="16" xfId="0" applyFont="1" applyFill="1" applyBorder="1" applyAlignment="1">
      <alignment horizontal="center"/>
    </xf>
    <xf numFmtId="0" fontId="3" fillId="2" borderId="17" xfId="0" applyFont="1" applyFill="1" applyBorder="1" applyAlignment="1">
      <alignment horizontal="center"/>
    </xf>
    <xf numFmtId="0" fontId="3" fillId="2" borderId="18" xfId="0" applyFont="1" applyFill="1" applyBorder="1" applyAlignment="1">
      <alignment horizontal="center"/>
    </xf>
    <xf numFmtId="2" fontId="0" fillId="0" borderId="1" xfId="0" applyNumberFormat="1" applyBorder="1" applyAlignment="1">
      <alignment horizontal="center"/>
    </xf>
    <xf numFmtId="2" fontId="0" fillId="0" borderId="3" xfId="0" applyNumberFormat="1" applyBorder="1" applyAlignment="1">
      <alignment horizontal="center"/>
    </xf>
    <xf numFmtId="165" fontId="0" fillId="0" borderId="19" xfId="0" applyNumberFormat="1" applyBorder="1" applyAlignment="1">
      <alignment horizontal="center"/>
    </xf>
    <xf numFmtId="0" fontId="1" fillId="0" borderId="2" xfId="0" applyFont="1" applyBorder="1" applyAlignment="1">
      <alignment horizontal="center"/>
    </xf>
    <xf numFmtId="0" fontId="1" fillId="0" borderId="2" xfId="0" applyFont="1" applyBorder="1" applyAlignment="1">
      <alignment horizontal="center" vertical="center" wrapText="1"/>
    </xf>
    <xf numFmtId="0" fontId="0" fillId="0" borderId="20" xfId="0" applyBorder="1" applyAlignment="1">
      <alignment horizontal="center"/>
    </xf>
    <xf numFmtId="9" fontId="0" fillId="0" borderId="1" xfId="0" applyNumberForma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9" fontId="0" fillId="0" borderId="13" xfId="0" applyNumberFormat="1" applyBorder="1" applyAlignment="1">
      <alignment horizontal="center"/>
    </xf>
    <xf numFmtId="9" fontId="0" fillId="0" borderId="10" xfId="0" applyNumberFormat="1" applyBorder="1" applyAlignment="1">
      <alignment horizontal="center"/>
    </xf>
    <xf numFmtId="1" fontId="0" fillId="0" borderId="13" xfId="0" applyNumberFormat="1" applyBorder="1" applyAlignment="1">
      <alignment horizontal="center"/>
    </xf>
    <xf numFmtId="9" fontId="0" fillId="0" borderId="0" xfId="0" applyNumberFormat="1" applyAlignment="1">
      <alignment horizontal="center"/>
    </xf>
    <xf numFmtId="0" fontId="0" fillId="0" borderId="4" xfId="0" applyBorder="1" applyAlignment="1">
      <alignment horizontal="center"/>
    </xf>
    <xf numFmtId="2" fontId="0" fillId="0" borderId="6" xfId="0" applyNumberFormat="1" applyBorder="1" applyAlignment="1">
      <alignment horizontal="center"/>
    </xf>
    <xf numFmtId="166" fontId="0" fillId="0" borderId="9" xfId="0" applyNumberFormat="1" applyBorder="1" applyAlignment="1">
      <alignment horizontal="center"/>
    </xf>
    <xf numFmtId="166" fontId="0" fillId="0" borderId="11" xfId="0" applyNumberFormat="1" applyBorder="1" applyAlignment="1">
      <alignment horizontal="center"/>
    </xf>
    <xf numFmtId="0" fontId="0" fillId="0" borderId="13" xfId="0" applyBorder="1" applyAlignment="1">
      <alignment horizontal="center"/>
    </xf>
    <xf numFmtId="166" fontId="0" fillId="0" borderId="25" xfId="0" applyNumberFormat="1" applyBorder="1" applyAlignment="1">
      <alignment horizontal="center"/>
    </xf>
    <xf numFmtId="0" fontId="0" fillId="0" borderId="26" xfId="0" applyBorder="1" applyAlignment="1">
      <alignment horizontal="center"/>
    </xf>
    <xf numFmtId="2" fontId="0" fillId="0" borderId="21" xfId="0" applyNumberFormat="1" applyBorder="1" applyAlignment="1">
      <alignment horizontal="center"/>
    </xf>
    <xf numFmtId="166" fontId="0" fillId="0" borderId="14" xfId="0" applyNumberFormat="1" applyBorder="1" applyAlignment="1">
      <alignment horizontal="center"/>
    </xf>
    <xf numFmtId="0" fontId="0" fillId="0" borderId="15" xfId="0" applyBorder="1" applyAlignment="1">
      <alignment horizontal="center"/>
    </xf>
    <xf numFmtId="10" fontId="0" fillId="0" borderId="0" xfId="0" applyNumberFormat="1"/>
    <xf numFmtId="0" fontId="0" fillId="0" borderId="19"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10" fontId="0" fillId="0" borderId="9" xfId="0" applyNumberFormat="1" applyBorder="1" applyAlignment="1">
      <alignment horizontal="center"/>
    </xf>
    <xf numFmtId="10" fontId="0" fillId="0" borderId="11" xfId="0" applyNumberFormat="1" applyBorder="1" applyAlignment="1">
      <alignment horizontal="center"/>
    </xf>
    <xf numFmtId="0" fontId="0" fillId="0" borderId="29" xfId="0" applyBorder="1" applyAlignment="1">
      <alignment horizontal="center"/>
    </xf>
    <xf numFmtId="10" fontId="0" fillId="0" borderId="14" xfId="0" applyNumberFormat="1" applyBorder="1" applyAlignment="1">
      <alignment horizontal="center"/>
    </xf>
    <xf numFmtId="165" fontId="0" fillId="0" borderId="30" xfId="0" applyNumberFormat="1" applyBorder="1" applyAlignment="1">
      <alignment horizontal="center"/>
    </xf>
    <xf numFmtId="1" fontId="0" fillId="0" borderId="0" xfId="0" applyNumberFormat="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2" fillId="2" borderId="11" xfId="0" applyFont="1" applyFill="1" applyBorder="1" applyAlignment="1">
      <alignment horizontal="center"/>
    </xf>
    <xf numFmtId="0" fontId="2" fillId="2" borderId="13" xfId="0" applyFont="1" applyFill="1" applyBorder="1" applyAlignment="1">
      <alignment horizontal="center"/>
    </xf>
    <xf numFmtId="0" fontId="2" fillId="2" borderId="9" xfId="0" applyFont="1" applyFill="1" applyBorder="1" applyAlignment="1">
      <alignment horizontal="center"/>
    </xf>
    <xf numFmtId="0" fontId="2" fillId="2" borderId="10" xfId="0" applyFont="1" applyFill="1" applyBorder="1" applyAlignment="1">
      <alignment horizontal="center"/>
    </xf>
    <xf numFmtId="0" fontId="2" fillId="2" borderId="1" xfId="0" applyFont="1" applyFill="1" applyBorder="1" applyAlignment="1">
      <alignment horizontal="center"/>
    </xf>
    <xf numFmtId="0" fontId="2" fillId="2" borderId="4" xfId="0" applyFont="1" applyFill="1" applyBorder="1" applyAlignment="1">
      <alignment horizontal="center"/>
    </xf>
    <xf numFmtId="0" fontId="2" fillId="2" borderId="16" xfId="0" applyFont="1" applyFill="1" applyBorder="1" applyAlignment="1">
      <alignment horizontal="center"/>
    </xf>
    <xf numFmtId="0" fontId="2" fillId="2" borderId="6" xfId="0" applyFont="1" applyFill="1" applyBorder="1" applyAlignment="1">
      <alignment horizontal="center"/>
    </xf>
    <xf numFmtId="10" fontId="0" fillId="0" borderId="31" xfId="0" applyNumberFormat="1" applyBorder="1" applyAlignment="1">
      <alignment horizontal="center"/>
    </xf>
    <xf numFmtId="0" fontId="0" fillId="0" borderId="23" xfId="0" applyBorder="1" applyAlignment="1">
      <alignment horizontal="center"/>
    </xf>
    <xf numFmtId="0" fontId="0" fillId="0" borderId="32" xfId="0" applyBorder="1" applyAlignment="1">
      <alignment horizontal="center"/>
    </xf>
    <xf numFmtId="10" fontId="0" fillId="0" borderId="15" xfId="0" applyNumberFormat="1" applyBorder="1" applyAlignment="1">
      <alignment horizontal="center"/>
    </xf>
    <xf numFmtId="10" fontId="0" fillId="0" borderId="10" xfId="0" applyNumberFormat="1" applyBorder="1" applyAlignment="1">
      <alignment horizontal="center"/>
    </xf>
    <xf numFmtId="9" fontId="0" fillId="0" borderId="9" xfId="0" applyNumberFormat="1" applyBorder="1" applyAlignment="1">
      <alignment horizontal="center"/>
    </xf>
    <xf numFmtId="9" fontId="0" fillId="0" borderId="11" xfId="0" applyNumberFormat="1" applyBorder="1" applyAlignment="1">
      <alignment horizontal="center"/>
    </xf>
    <xf numFmtId="9" fontId="0" fillId="0" borderId="15" xfId="0" applyNumberFormat="1" applyBorder="1" applyAlignment="1">
      <alignment horizontal="center"/>
    </xf>
    <xf numFmtId="10" fontId="0" fillId="0" borderId="17" xfId="0" applyNumberFormat="1" applyBorder="1" applyAlignment="1">
      <alignment horizontal="center"/>
    </xf>
    <xf numFmtId="9" fontId="0" fillId="0" borderId="18" xfId="0" applyNumberFormat="1" applyBorder="1" applyAlignment="1">
      <alignment horizontal="center"/>
    </xf>
    <xf numFmtId="165" fontId="0" fillId="0" borderId="17" xfId="0" applyNumberFormat="1" applyBorder="1" applyAlignment="1">
      <alignment horizontal="center"/>
    </xf>
    <xf numFmtId="165" fontId="0" fillId="0" borderId="18" xfId="0" applyNumberFormat="1" applyBorder="1" applyAlignment="1">
      <alignment horizontal="center"/>
    </xf>
    <xf numFmtId="167" fontId="0" fillId="0" borderId="1" xfId="0" applyNumberFormat="1" applyBorder="1" applyAlignment="1">
      <alignment horizontal="center"/>
    </xf>
    <xf numFmtId="10" fontId="1" fillId="0" borderId="18" xfId="0" applyNumberFormat="1" applyFont="1" applyBorder="1" applyAlignment="1">
      <alignment horizontal="center"/>
    </xf>
    <xf numFmtId="9" fontId="0" fillId="0" borderId="14" xfId="0" applyNumberFormat="1" applyBorder="1" applyAlignment="1">
      <alignment horizontal="center"/>
    </xf>
    <xf numFmtId="0" fontId="2" fillId="2" borderId="4" xfId="0" applyFont="1" applyFill="1" applyBorder="1"/>
    <xf numFmtId="0" fontId="2" fillId="2" borderId="18" xfId="0" applyFont="1" applyFill="1" applyBorder="1" applyAlignment="1">
      <alignment horizontal="center"/>
    </xf>
    <xf numFmtId="0" fontId="2" fillId="2" borderId="2" xfId="0" applyFont="1" applyFill="1" applyBorder="1" applyAlignment="1">
      <alignment horizontal="center" vertical="center"/>
    </xf>
    <xf numFmtId="0" fontId="3" fillId="2" borderId="4" xfId="0" applyFont="1" applyFill="1" applyBorder="1" applyAlignment="1">
      <alignment horizontal="center"/>
    </xf>
    <xf numFmtId="0" fontId="5" fillId="2" borderId="0" xfId="0" applyFont="1" applyFill="1" applyAlignment="1">
      <alignment horizontal="center"/>
    </xf>
    <xf numFmtId="0" fontId="1" fillId="0" borderId="1" xfId="0" applyFont="1" applyBorder="1" applyAlignment="1">
      <alignment horizontal="center"/>
    </xf>
    <xf numFmtId="0" fontId="5" fillId="2" borderId="4" xfId="0" applyFont="1" applyFill="1" applyBorder="1" applyAlignment="1">
      <alignment horizontal="center"/>
    </xf>
    <xf numFmtId="0" fontId="5" fillId="2" borderId="5" xfId="0" applyFont="1" applyFill="1" applyBorder="1" applyAlignment="1">
      <alignment horizontal="center"/>
    </xf>
    <xf numFmtId="0" fontId="5" fillId="2" borderId="6" xfId="0" applyFont="1" applyFill="1" applyBorder="1" applyAlignment="1">
      <alignment horizontal="center"/>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5" fillId="2" borderId="22" xfId="0" applyFont="1" applyFill="1" applyBorder="1" applyAlignment="1">
      <alignment horizontal="center"/>
    </xf>
    <xf numFmtId="0" fontId="1" fillId="0" borderId="23" xfId="0" applyFont="1" applyBorder="1" applyAlignment="1">
      <alignment horizontal="center"/>
    </xf>
    <xf numFmtId="0" fontId="1" fillId="0" borderId="24" xfId="0" applyFont="1" applyBorder="1" applyAlignment="1">
      <alignment horizontal="center"/>
    </xf>
    <xf numFmtId="165" fontId="1" fillId="3" borderId="1" xfId="0" applyNumberFormat="1" applyFont="1" applyFill="1" applyBorder="1" applyAlignment="1">
      <alignment horizont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0</xdr:rowOff>
    </xdr:from>
    <xdr:to>
      <xdr:col>28</xdr:col>
      <xdr:colOff>504825</xdr:colOff>
      <xdr:row>3</xdr:row>
      <xdr:rowOff>161925</xdr:rowOff>
    </xdr:to>
    <xdr:sp macro="" textlink="">
      <xdr:nvSpPr>
        <xdr:cNvPr id="2" name="TextBox 1">
          <a:extLst>
            <a:ext uri="{FF2B5EF4-FFF2-40B4-BE49-F238E27FC236}">
              <a16:creationId xmlns:a16="http://schemas.microsoft.com/office/drawing/2014/main" id="{D5B4D4E4-884D-435C-AFD0-E85411B5DA7C}"/>
            </a:ext>
          </a:extLst>
        </xdr:cNvPr>
        <xdr:cNvSpPr txBox="1"/>
      </xdr:nvSpPr>
      <xdr:spPr>
        <a:xfrm>
          <a:off x="190500" y="0"/>
          <a:ext cx="17383125" cy="733425"/>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4000" b="1"/>
            <a:t>FINANCIAL</a:t>
          </a:r>
          <a:r>
            <a:rPr lang="en-US" sz="4000" b="1" baseline="0"/>
            <a:t> ANALYSIS PROJECT</a:t>
          </a:r>
          <a:endParaRPr lang="en-US" sz="1100" b="1"/>
        </a:p>
      </xdr:txBody>
    </xdr:sp>
    <xdr:clientData/>
  </xdr:twoCellAnchor>
  <xdr:twoCellAnchor>
    <xdr:from>
      <xdr:col>0</xdr:col>
      <xdr:colOff>323850</xdr:colOff>
      <xdr:row>4</xdr:row>
      <xdr:rowOff>63500</xdr:rowOff>
    </xdr:from>
    <xdr:to>
      <xdr:col>28</xdr:col>
      <xdr:colOff>497417</xdr:colOff>
      <xdr:row>24</xdr:row>
      <xdr:rowOff>179917</xdr:rowOff>
    </xdr:to>
    <xdr:sp macro="" textlink="">
      <xdr:nvSpPr>
        <xdr:cNvPr id="64" name="TextBox 63">
          <a:extLst>
            <a:ext uri="{FF2B5EF4-FFF2-40B4-BE49-F238E27FC236}">
              <a16:creationId xmlns:a16="http://schemas.microsoft.com/office/drawing/2014/main" id="{8F96A713-A112-45AA-B1E8-A4D13EE8FD10}"/>
            </a:ext>
          </a:extLst>
        </xdr:cNvPr>
        <xdr:cNvSpPr txBox="1"/>
      </xdr:nvSpPr>
      <xdr:spPr>
        <a:xfrm>
          <a:off x="323850" y="825500"/>
          <a:ext cx="17360900" cy="3926417"/>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effectLst/>
          </a:endParaRPr>
        </a:p>
        <a:p>
          <a:r>
            <a:rPr lang="en-US" sz="2000" b="1" i="0">
              <a:solidFill>
                <a:schemeClr val="dk1"/>
              </a:solidFill>
              <a:effectLst/>
              <a:latin typeface="+mn-lt"/>
              <a:ea typeface="+mn-ea"/>
              <a:cs typeface="+mn-cs"/>
            </a:rPr>
            <a:t>Point</a:t>
          </a:r>
          <a:r>
            <a:rPr lang="en-US" sz="2000" b="1" i="0" baseline="0">
              <a:solidFill>
                <a:schemeClr val="dk1"/>
              </a:solidFill>
              <a:effectLst/>
              <a:latin typeface="+mn-lt"/>
              <a:ea typeface="+mn-ea"/>
              <a:cs typeface="+mn-cs"/>
            </a:rPr>
            <a:t>s to remember before starting this project:-</a:t>
          </a:r>
        </a:p>
        <a:p>
          <a:r>
            <a:rPr lang="en-US" sz="2000" b="1" i="0" baseline="0">
              <a:solidFill>
                <a:schemeClr val="dk1"/>
              </a:solidFill>
              <a:effectLst/>
              <a:latin typeface="+mn-lt"/>
              <a:ea typeface="+mn-ea"/>
              <a:cs typeface="+mn-cs"/>
            </a:rPr>
            <a:t>Purpose of the project is to give you the fundamental ideas about how the financial functions and terminologies works in Excel so imp thing is to go thorough this documentation very carefully and understand the tems.</a:t>
          </a:r>
          <a:endParaRPr lang="en-US" sz="2000" b="1">
            <a:effectLst/>
          </a:endParaRPr>
        </a:p>
        <a:p>
          <a:r>
            <a:rPr lang="en-US" sz="2000" b="1" i="0" baseline="0">
              <a:solidFill>
                <a:schemeClr val="dk1"/>
              </a:solidFill>
              <a:effectLst/>
              <a:latin typeface="+mn-lt"/>
              <a:ea typeface="+mn-ea"/>
              <a:cs typeface="+mn-cs"/>
            </a:rPr>
            <a:t>1. In Project Worksheets you dataset is already prepared  so you have to find the values and answers for given functions for solution please go through this sheet </a:t>
          </a:r>
        </a:p>
        <a:p>
          <a:r>
            <a:rPr lang="en-US" sz="2000" b="1" i="0" baseline="0">
              <a:solidFill>
                <a:schemeClr val="dk1"/>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b="1">
            <a:effectLst/>
          </a:endParaRPr>
        </a:p>
        <a:p>
          <a:r>
            <a:rPr lang="en-US" sz="2000" b="1" i="0" baseline="0">
              <a:solidFill>
                <a:schemeClr val="dk1"/>
              </a:solidFill>
              <a:effectLst/>
              <a:latin typeface="+mn-lt"/>
              <a:ea typeface="+mn-ea"/>
              <a:cs typeface="+mn-cs"/>
            </a:rPr>
            <a:t>3. After doing the anlalysis Create a Summary report that what insights and analysis you have find while doing this proects</a:t>
          </a:r>
          <a:endParaRPr lang="en-US" sz="2000" b="1">
            <a:effectLst/>
          </a:endParaRP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zoomScale="90" zoomScaleNormal="90" workbookViewId="0">
      <selection activeCell="L23" sqref="L23"/>
    </sheetView>
  </sheetViews>
  <sheetFormatPr defaultRowHeight="14.5" x14ac:dyDescent="0.3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5"/>
  <sheetViews>
    <sheetView showGridLines="0" topLeftCell="A73" zoomScale="85" zoomScaleNormal="85" workbookViewId="0">
      <selection activeCell="B149" sqref="B149:B153"/>
    </sheetView>
  </sheetViews>
  <sheetFormatPr defaultRowHeight="14.5" x14ac:dyDescent="0.35"/>
  <cols>
    <col min="1" max="1" width="20.7265625" bestFit="1" customWidth="1"/>
    <col min="2" max="2" width="15.7265625" bestFit="1" customWidth="1"/>
    <col min="3" max="3" width="14.7265625" customWidth="1"/>
    <col min="4" max="4" width="38.26953125" bestFit="1" customWidth="1"/>
    <col min="5" max="5" width="12" bestFit="1" customWidth="1"/>
    <col min="6" max="6" width="15.7265625" customWidth="1"/>
  </cols>
  <sheetData>
    <row r="1" spans="1:6" ht="16" thickBot="1" x14ac:dyDescent="0.4">
      <c r="A1" s="83" t="s">
        <v>6</v>
      </c>
      <c r="B1" s="84"/>
      <c r="C1" s="84"/>
      <c r="D1" s="84"/>
      <c r="E1" s="85"/>
    </row>
    <row r="2" spans="1:6" x14ac:dyDescent="0.35">
      <c r="A2" s="6" t="s">
        <v>0</v>
      </c>
      <c r="B2" s="7">
        <v>32000</v>
      </c>
      <c r="C2" s="1"/>
      <c r="D2" s="6" t="s">
        <v>0</v>
      </c>
      <c r="E2" s="7">
        <v>32000</v>
      </c>
    </row>
    <row r="3" spans="1:6" x14ac:dyDescent="0.35">
      <c r="A3" s="4" t="s">
        <v>1</v>
      </c>
      <c r="B3" s="2">
        <v>0.13</v>
      </c>
      <c r="C3" s="1"/>
      <c r="D3" s="4" t="s">
        <v>1</v>
      </c>
      <c r="E3" s="2">
        <v>0.13</v>
      </c>
    </row>
    <row r="4" spans="1:6" x14ac:dyDescent="0.35">
      <c r="A4" s="4" t="s">
        <v>2</v>
      </c>
      <c r="B4" s="2">
        <v>8</v>
      </c>
      <c r="C4" s="1"/>
      <c r="D4" s="4" t="s">
        <v>2</v>
      </c>
      <c r="E4" s="2">
        <v>8</v>
      </c>
    </row>
    <row r="5" spans="1:6" x14ac:dyDescent="0.35">
      <c r="A5" s="4" t="s">
        <v>5</v>
      </c>
      <c r="B5" s="2">
        <v>-6000</v>
      </c>
      <c r="C5" s="1"/>
      <c r="D5" s="4" t="s">
        <v>5</v>
      </c>
      <c r="E5" s="2">
        <v>-6000</v>
      </c>
    </row>
    <row r="6" spans="1:6" x14ac:dyDescent="0.35">
      <c r="A6" s="82" t="s">
        <v>3</v>
      </c>
      <c r="B6" s="82"/>
      <c r="D6" s="82" t="s">
        <v>3</v>
      </c>
      <c r="E6" s="82"/>
    </row>
    <row r="7" spans="1:6" x14ac:dyDescent="0.35">
      <c r="A7" s="4" t="s">
        <v>4</v>
      </c>
      <c r="B7" s="5">
        <f>PV(B3,B4,B5,0,0)</f>
        <v>28792.621766665405</v>
      </c>
      <c r="C7" s="1"/>
      <c r="D7" s="4" t="s">
        <v>4</v>
      </c>
      <c r="E7" s="5">
        <f>PV(E3,E4,E5,0,1)</f>
        <v>32535.662596331898</v>
      </c>
    </row>
    <row r="8" spans="1:6" ht="15" thickBot="1" x14ac:dyDescent="0.4"/>
    <row r="9" spans="1:6" ht="19" thickBot="1" x14ac:dyDescent="0.5">
      <c r="A9" s="86" t="s">
        <v>14</v>
      </c>
      <c r="B9" s="87"/>
      <c r="C9" s="87"/>
      <c r="D9" s="87"/>
      <c r="E9" s="87"/>
      <c r="F9" s="88"/>
    </row>
    <row r="11" spans="1:6" x14ac:dyDescent="0.35">
      <c r="A11" s="2" t="s">
        <v>7</v>
      </c>
      <c r="B11" s="2">
        <v>0.12</v>
      </c>
      <c r="D11" s="2" t="s">
        <v>7</v>
      </c>
      <c r="E11" s="2">
        <v>0.16</v>
      </c>
    </row>
    <row r="12" spans="1:6" x14ac:dyDescent="0.35">
      <c r="A12" s="2" t="s">
        <v>8</v>
      </c>
      <c r="B12" s="2">
        <f>B11/12</f>
        <v>0.01</v>
      </c>
      <c r="D12" s="2" t="s">
        <v>8</v>
      </c>
      <c r="E12" s="2">
        <f>E11/12</f>
        <v>1.3333333333333334E-2</v>
      </c>
    </row>
    <row r="13" spans="1:6" x14ac:dyDescent="0.35">
      <c r="A13" s="2" t="s">
        <v>9</v>
      </c>
      <c r="B13" s="2">
        <v>25</v>
      </c>
      <c r="D13" s="2" t="s">
        <v>9</v>
      </c>
      <c r="E13" s="2">
        <v>8</v>
      </c>
    </row>
    <row r="14" spans="1:6" x14ac:dyDescent="0.35">
      <c r="A14" s="2" t="s">
        <v>10</v>
      </c>
      <c r="B14" s="2">
        <f>B13*12</f>
        <v>300</v>
      </c>
      <c r="D14" s="2" t="s">
        <v>11</v>
      </c>
      <c r="E14" s="2">
        <v>-100000</v>
      </c>
    </row>
    <row r="15" spans="1:6" x14ac:dyDescent="0.35">
      <c r="A15" s="2" t="s">
        <v>11</v>
      </c>
      <c r="B15" s="2">
        <v>-5000000</v>
      </c>
      <c r="D15" s="2" t="s">
        <v>12</v>
      </c>
      <c r="E15" s="2">
        <v>0</v>
      </c>
    </row>
    <row r="16" spans="1:6" x14ac:dyDescent="0.35">
      <c r="A16" s="2" t="s">
        <v>12</v>
      </c>
      <c r="B16" s="2">
        <v>0</v>
      </c>
      <c r="D16" s="2" t="s">
        <v>13</v>
      </c>
      <c r="E16" s="2">
        <v>0</v>
      </c>
    </row>
    <row r="17" spans="1:6" x14ac:dyDescent="0.35">
      <c r="A17" s="2" t="s">
        <v>13</v>
      </c>
      <c r="B17" s="2">
        <v>1</v>
      </c>
      <c r="D17" s="2" t="s">
        <v>14</v>
      </c>
      <c r="E17" s="8">
        <f>PMT(E12,E13,E14,E15,E16)</f>
        <v>13261.587371330586</v>
      </c>
    </row>
    <row r="18" spans="1:6" x14ac:dyDescent="0.35">
      <c r="A18" s="2" t="s">
        <v>14</v>
      </c>
      <c r="B18" s="8">
        <f>PMT(B12,B14,B15,B16,B17)</f>
        <v>52139.809019684551</v>
      </c>
    </row>
    <row r="19" spans="1:6" ht="15" thickBot="1" x14ac:dyDescent="0.4"/>
    <row r="20" spans="1:6" ht="15" thickBot="1" x14ac:dyDescent="0.4">
      <c r="A20" s="2" t="s">
        <v>8</v>
      </c>
      <c r="B20" s="2">
        <v>1.2999999999999999E-2</v>
      </c>
      <c r="D20" s="22" t="s">
        <v>21</v>
      </c>
    </row>
    <row r="21" spans="1:6" x14ac:dyDescent="0.35">
      <c r="A21" s="2" t="s">
        <v>15</v>
      </c>
      <c r="B21" s="2">
        <v>8</v>
      </c>
      <c r="D21" s="19">
        <f>SUM(D29:D30)</f>
        <v>2132.2333374657851</v>
      </c>
    </row>
    <row r="22" spans="1:6" ht="15" thickBot="1" x14ac:dyDescent="0.4">
      <c r="A22" s="2" t="s">
        <v>11</v>
      </c>
      <c r="B22" s="2">
        <v>100000</v>
      </c>
      <c r="D22" s="20"/>
    </row>
    <row r="23" spans="1:6" ht="15" thickBot="1" x14ac:dyDescent="0.4">
      <c r="A23" s="2" t="s">
        <v>12</v>
      </c>
      <c r="B23" s="2">
        <v>0</v>
      </c>
      <c r="D23" s="21" t="s">
        <v>22</v>
      </c>
    </row>
    <row r="24" spans="1:6" x14ac:dyDescent="0.35">
      <c r="A24" s="2" t="s">
        <v>13</v>
      </c>
      <c r="B24" s="2">
        <v>0</v>
      </c>
      <c r="D24" s="19">
        <f>SUM(E29:E30)</f>
        <v>24352.300989895884</v>
      </c>
    </row>
    <row r="25" spans="1:6" x14ac:dyDescent="0.35">
      <c r="A25" s="2" t="s">
        <v>14</v>
      </c>
      <c r="B25" s="92">
        <f>PMT(B20,B21,-B22,B23,B24)</f>
        <v>13242.267163680835</v>
      </c>
      <c r="D25" s="3"/>
    </row>
    <row r="26" spans="1:6" ht="15" thickBot="1" x14ac:dyDescent="0.4"/>
    <row r="27" spans="1:6" ht="15" thickBot="1" x14ac:dyDescent="0.4">
      <c r="A27" s="15" t="s">
        <v>16</v>
      </c>
      <c r="B27" s="16" t="s">
        <v>17</v>
      </c>
      <c r="C27" s="16" t="s">
        <v>14</v>
      </c>
      <c r="D27" s="16" t="s">
        <v>18</v>
      </c>
      <c r="E27" s="16" t="s">
        <v>19</v>
      </c>
      <c r="F27" s="17" t="s">
        <v>20</v>
      </c>
    </row>
    <row r="28" spans="1:6" x14ac:dyDescent="0.35">
      <c r="A28" s="12">
        <v>1</v>
      </c>
      <c r="B28" s="13">
        <f>B22</f>
        <v>100000</v>
      </c>
      <c r="C28" s="13">
        <f>-$B$25</f>
        <v>-13242.267163680835</v>
      </c>
      <c r="D28" s="13">
        <f>-IPMT($B$20,A28,$B$21,$B$22,$B$23,$B$24)</f>
        <v>1300</v>
      </c>
      <c r="E28" s="13">
        <f>-PPMT($B$20,A28,$B$21,$B$22,$B$23,$B$24)</f>
        <v>11942.267163680835</v>
      </c>
      <c r="F28" s="14">
        <f>B28-E28</f>
        <v>88057.732836319163</v>
      </c>
    </row>
    <row r="29" spans="1:6" x14ac:dyDescent="0.35">
      <c r="A29" s="9">
        <f>A28+1</f>
        <v>2</v>
      </c>
      <c r="B29" s="3">
        <f>F28</f>
        <v>88057.732836319163</v>
      </c>
      <c r="C29" s="3">
        <f t="shared" ref="C29:C35" si="0">-$B$25</f>
        <v>-13242.267163680835</v>
      </c>
      <c r="D29" s="13">
        <f t="shared" ref="D29:D35" si="1">-IPMT($B$20,A29,$B$21,$B$22,$B$23,$B$24)</f>
        <v>1144.7505268721491</v>
      </c>
      <c r="E29" s="13">
        <f>-PPMT($B$20,A29,$B$21,$B$22,$B$23,$B$24)</f>
        <v>12097.516636808687</v>
      </c>
      <c r="F29" s="14">
        <f t="shared" ref="F29:F35" si="2">B29-E29</f>
        <v>75960.216199510469</v>
      </c>
    </row>
    <row r="30" spans="1:6" x14ac:dyDescent="0.35">
      <c r="A30" s="9">
        <f t="shared" ref="A30:A35" si="3">A29+1</f>
        <v>3</v>
      </c>
      <c r="B30" s="3">
        <f t="shared" ref="B30:B35" si="4">F29</f>
        <v>75960.216199510469</v>
      </c>
      <c r="C30" s="3">
        <f t="shared" si="0"/>
        <v>-13242.267163680835</v>
      </c>
      <c r="D30" s="13">
        <f t="shared" si="1"/>
        <v>987.48281059363603</v>
      </c>
      <c r="E30" s="13">
        <f t="shared" ref="E29:E35" si="5">-PPMT($B$20,A30,$B$21,$B$22,$B$23,$B$24)</f>
        <v>12254.7843530872</v>
      </c>
      <c r="F30" s="14">
        <f t="shared" si="2"/>
        <v>63705.431846423271</v>
      </c>
    </row>
    <row r="31" spans="1:6" x14ac:dyDescent="0.35">
      <c r="A31" s="9">
        <f t="shared" si="3"/>
        <v>4</v>
      </c>
      <c r="B31" s="3">
        <f t="shared" si="4"/>
        <v>63705.431846423271</v>
      </c>
      <c r="C31" s="3">
        <f t="shared" si="0"/>
        <v>-13242.267163680835</v>
      </c>
      <c r="D31" s="13">
        <f t="shared" si="1"/>
        <v>828.17061400350269</v>
      </c>
      <c r="E31" s="13">
        <f t="shared" si="5"/>
        <v>12414.096549677333</v>
      </c>
      <c r="F31" s="14">
        <f t="shared" si="2"/>
        <v>51291.335296745936</v>
      </c>
    </row>
    <row r="32" spans="1:6" x14ac:dyDescent="0.35">
      <c r="A32" s="9">
        <f t="shared" si="3"/>
        <v>5</v>
      </c>
      <c r="B32" s="3">
        <f t="shared" si="4"/>
        <v>51291.335296745936</v>
      </c>
      <c r="C32" s="3">
        <f t="shared" si="0"/>
        <v>-13242.267163680835</v>
      </c>
      <c r="D32" s="13">
        <f t="shared" si="1"/>
        <v>666.78735885769731</v>
      </c>
      <c r="E32" s="13">
        <f t="shared" si="5"/>
        <v>12575.479804823137</v>
      </c>
      <c r="F32" s="14">
        <f t="shared" si="2"/>
        <v>38715.855491922797</v>
      </c>
    </row>
    <row r="33" spans="1:6" x14ac:dyDescent="0.35">
      <c r="A33" s="9">
        <f t="shared" si="3"/>
        <v>6</v>
      </c>
      <c r="B33" s="3">
        <f t="shared" si="4"/>
        <v>38715.855491922797</v>
      </c>
      <c r="C33" s="3">
        <f t="shared" si="0"/>
        <v>-13242.267163680835</v>
      </c>
      <c r="D33" s="13">
        <f t="shared" si="1"/>
        <v>503.30612139499652</v>
      </c>
      <c r="E33" s="13">
        <f t="shared" si="5"/>
        <v>12738.961042285839</v>
      </c>
      <c r="F33" s="14">
        <f t="shared" si="2"/>
        <v>25976.894449636959</v>
      </c>
    </row>
    <row r="34" spans="1:6" x14ac:dyDescent="0.35">
      <c r="A34" s="9">
        <f t="shared" si="3"/>
        <v>7</v>
      </c>
      <c r="B34" s="3">
        <f t="shared" si="4"/>
        <v>25976.894449636959</v>
      </c>
      <c r="C34" s="3">
        <f t="shared" si="0"/>
        <v>-13242.267163680835</v>
      </c>
      <c r="D34" s="13">
        <f t="shared" si="1"/>
        <v>337.69962784528065</v>
      </c>
      <c r="E34" s="13">
        <f t="shared" si="5"/>
        <v>12904.567535835553</v>
      </c>
      <c r="F34" s="14">
        <f t="shared" si="2"/>
        <v>13072.326913801406</v>
      </c>
    </row>
    <row r="35" spans="1:6" ht="15" thickBot="1" x14ac:dyDescent="0.4">
      <c r="A35" s="10">
        <f t="shared" si="3"/>
        <v>8</v>
      </c>
      <c r="B35" s="11">
        <f t="shared" si="4"/>
        <v>13072.326913801406</v>
      </c>
      <c r="C35" s="11">
        <f t="shared" si="0"/>
        <v>-13242.267163680835</v>
      </c>
      <c r="D35" s="13">
        <f t="shared" si="1"/>
        <v>169.94024987941845</v>
      </c>
      <c r="E35" s="13">
        <f t="shared" si="5"/>
        <v>13072.326913801417</v>
      </c>
      <c r="F35" s="14">
        <f t="shared" si="2"/>
        <v>0</v>
      </c>
    </row>
    <row r="36" spans="1:6" ht="15" thickBot="1" x14ac:dyDescent="0.4"/>
    <row r="37" spans="1:6" x14ac:dyDescent="0.35">
      <c r="A37" s="25" t="s">
        <v>23</v>
      </c>
      <c r="B37" s="26">
        <v>100000</v>
      </c>
    </row>
    <row r="38" spans="1:6" x14ac:dyDescent="0.35">
      <c r="A38" s="9" t="s">
        <v>24</v>
      </c>
      <c r="B38" s="27">
        <v>15</v>
      </c>
    </row>
    <row r="39" spans="1:6" x14ac:dyDescent="0.35">
      <c r="A39" s="9" t="s">
        <v>14</v>
      </c>
      <c r="B39" s="27">
        <v>-12000</v>
      </c>
    </row>
    <row r="40" spans="1:6" ht="15" thickBot="1" x14ac:dyDescent="0.4">
      <c r="A40" s="10" t="s">
        <v>18</v>
      </c>
      <c r="B40" s="28">
        <f>RATE(B38,B39,B37)</f>
        <v>8.4417979849322686E-2</v>
      </c>
    </row>
    <row r="41" spans="1:6" x14ac:dyDescent="0.35">
      <c r="A41" s="1"/>
      <c r="B41" s="31"/>
    </row>
    <row r="42" spans="1:6" ht="16" thickBot="1" x14ac:dyDescent="0.4">
      <c r="A42" s="89" t="s">
        <v>25</v>
      </c>
      <c r="B42" s="89"/>
    </row>
    <row r="43" spans="1:6" x14ac:dyDescent="0.35">
      <c r="A43" s="25" t="s">
        <v>23</v>
      </c>
      <c r="B43" s="26">
        <v>100000</v>
      </c>
    </row>
    <row r="44" spans="1:6" x14ac:dyDescent="0.35">
      <c r="A44" s="9" t="s">
        <v>18</v>
      </c>
      <c r="B44" s="27">
        <v>0.1</v>
      </c>
    </row>
    <row r="45" spans="1:6" x14ac:dyDescent="0.35">
      <c r="A45" s="9" t="s">
        <v>14</v>
      </c>
      <c r="B45" s="27">
        <v>-15000</v>
      </c>
    </row>
    <row r="46" spans="1:6" ht="15" thickBot="1" x14ac:dyDescent="0.4">
      <c r="A46" s="10" t="s">
        <v>24</v>
      </c>
      <c r="B46" s="30">
        <f>NPER(B44/12,B45,B43)</f>
        <v>6.8875493388920681</v>
      </c>
    </row>
    <row r="47" spans="1:6" x14ac:dyDescent="0.35">
      <c r="A47" s="1"/>
      <c r="B47" s="51"/>
    </row>
    <row r="48" spans="1:6" ht="15.5" x14ac:dyDescent="0.35">
      <c r="A48" s="81" t="s">
        <v>36</v>
      </c>
      <c r="B48" s="81"/>
      <c r="C48" s="81"/>
      <c r="D48" s="81"/>
      <c r="E48" s="81"/>
    </row>
    <row r="50" spans="1:5" x14ac:dyDescent="0.35">
      <c r="A50" s="2" t="s">
        <v>1</v>
      </c>
      <c r="B50" s="58">
        <v>0.2</v>
      </c>
      <c r="C50" s="2"/>
    </row>
    <row r="51" spans="1:5" x14ac:dyDescent="0.35">
      <c r="A51" s="2"/>
      <c r="B51" s="90" t="s">
        <v>26</v>
      </c>
      <c r="C51" s="91"/>
    </row>
    <row r="52" spans="1:5" x14ac:dyDescent="0.35">
      <c r="A52" s="58" t="s">
        <v>27</v>
      </c>
      <c r="B52" s="58" t="s">
        <v>28</v>
      </c>
      <c r="C52" s="58" t="s">
        <v>29</v>
      </c>
    </row>
    <row r="53" spans="1:5" x14ac:dyDescent="0.35">
      <c r="A53" s="2">
        <v>1</v>
      </c>
      <c r="B53" s="2">
        <v>-10000</v>
      </c>
      <c r="C53" s="2">
        <v>-5000</v>
      </c>
    </row>
    <row r="54" spans="1:5" x14ac:dyDescent="0.35">
      <c r="A54" s="2">
        <v>2</v>
      </c>
      <c r="B54" s="2">
        <v>25000</v>
      </c>
      <c r="C54" s="2">
        <v>20000</v>
      </c>
    </row>
    <row r="55" spans="1:5" x14ac:dyDescent="0.35">
      <c r="A55" s="2">
        <v>3</v>
      </c>
      <c r="B55" s="2">
        <v>-7000</v>
      </c>
      <c r="C55" s="2">
        <v>-8000</v>
      </c>
    </row>
    <row r="56" spans="1:5" x14ac:dyDescent="0.35">
      <c r="A56" s="2" t="s">
        <v>30</v>
      </c>
      <c r="B56" s="2">
        <f>SUM(B53:B55)</f>
        <v>8000</v>
      </c>
      <c r="C56" s="2">
        <f>SUM(C53:C55)</f>
        <v>7000</v>
      </c>
    </row>
    <row r="58" spans="1:5" x14ac:dyDescent="0.35">
      <c r="A58" s="2" t="s">
        <v>31</v>
      </c>
      <c r="B58" s="3">
        <f>NPV(B$50,B53:B55)</f>
        <v>4976.851851851854</v>
      </c>
      <c r="C58" s="3">
        <f>NPV($B$50,C53:C55)</f>
        <v>5092.592592592594</v>
      </c>
    </row>
    <row r="59" spans="1:5" x14ac:dyDescent="0.35">
      <c r="A59" s="2" t="s">
        <v>32</v>
      </c>
      <c r="B59" s="18">
        <f>B53+NPV($B$50,B54:B55)</f>
        <v>5972.2222222222208</v>
      </c>
      <c r="C59" s="3">
        <f>C53+NPV($B$50,C54:C55)</f>
        <v>6111.1111111111113</v>
      </c>
    </row>
    <row r="60" spans="1:5" x14ac:dyDescent="0.35">
      <c r="A60" s="2" t="s">
        <v>33</v>
      </c>
      <c r="B60" s="3">
        <f>NPV($B$50,B53:B55)*SQRT(1+$B$50)</f>
        <v>5451.8680492412386</v>
      </c>
      <c r="C60" s="3">
        <f>NPV($B$50,C53:C55)*SQRT(1+$B$50)</f>
        <v>5578.6556782933594</v>
      </c>
    </row>
    <row r="61" spans="1:5" ht="15" thickBot="1" x14ac:dyDescent="0.4"/>
    <row r="62" spans="1:5" x14ac:dyDescent="0.35">
      <c r="A62" s="52" t="s">
        <v>1</v>
      </c>
      <c r="B62" s="53">
        <v>0.2</v>
      </c>
      <c r="D62" s="52" t="s">
        <v>1</v>
      </c>
      <c r="E62" s="53">
        <v>0.2</v>
      </c>
    </row>
    <row r="63" spans="1:5" ht="15" thickBot="1" x14ac:dyDescent="0.4">
      <c r="A63" s="56" t="s">
        <v>34</v>
      </c>
      <c r="B63" s="57" t="s">
        <v>26</v>
      </c>
      <c r="D63" s="54" t="s">
        <v>34</v>
      </c>
      <c r="E63" s="55" t="s">
        <v>26</v>
      </c>
    </row>
    <row r="64" spans="1:5" x14ac:dyDescent="0.35">
      <c r="A64" s="34">
        <v>42536</v>
      </c>
      <c r="B64" s="27">
        <v>5000</v>
      </c>
      <c r="D64" s="40">
        <v>42078</v>
      </c>
      <c r="E64" s="41">
        <v>0</v>
      </c>
    </row>
    <row r="65" spans="1:5" x14ac:dyDescent="0.35">
      <c r="A65" s="34">
        <v>42657</v>
      </c>
      <c r="B65" s="27">
        <v>5143</v>
      </c>
      <c r="D65" s="34">
        <v>42536</v>
      </c>
      <c r="E65" s="27">
        <v>5000</v>
      </c>
    </row>
    <row r="66" spans="1:5" x14ac:dyDescent="0.35">
      <c r="A66" s="34">
        <v>42855</v>
      </c>
      <c r="B66" s="27">
        <v>8838</v>
      </c>
      <c r="D66" s="34">
        <v>42657</v>
      </c>
      <c r="E66" s="27">
        <v>5143</v>
      </c>
    </row>
    <row r="67" spans="1:5" x14ac:dyDescent="0.35">
      <c r="A67" s="34">
        <v>42684</v>
      </c>
      <c r="B67" s="27">
        <v>-4893</v>
      </c>
      <c r="D67" s="34">
        <v>42855</v>
      </c>
      <c r="E67" s="27">
        <v>8838</v>
      </c>
    </row>
    <row r="68" spans="1:5" x14ac:dyDescent="0.35">
      <c r="A68" s="34">
        <v>42629</v>
      </c>
      <c r="B68" s="27">
        <v>-2134</v>
      </c>
      <c r="D68" s="34">
        <v>42684</v>
      </c>
      <c r="E68" s="27">
        <v>-4893</v>
      </c>
    </row>
    <row r="69" spans="1:5" x14ac:dyDescent="0.35">
      <c r="A69" s="34">
        <v>42843</v>
      </c>
      <c r="B69" s="27">
        <v>8047</v>
      </c>
      <c r="D69" s="34">
        <v>42629</v>
      </c>
      <c r="E69" s="27">
        <v>-2134</v>
      </c>
    </row>
    <row r="70" spans="1:5" x14ac:dyDescent="0.35">
      <c r="A70" s="34">
        <v>42609</v>
      </c>
      <c r="B70" s="27">
        <v>3908</v>
      </c>
      <c r="D70" s="34">
        <v>42843</v>
      </c>
      <c r="E70" s="27">
        <v>8047</v>
      </c>
    </row>
    <row r="71" spans="1:5" ht="15" thickBot="1" x14ac:dyDescent="0.4">
      <c r="A71" s="35">
        <v>42568</v>
      </c>
      <c r="B71" s="36">
        <v>-4007</v>
      </c>
      <c r="D71" s="37">
        <v>42609</v>
      </c>
      <c r="E71" s="38">
        <v>3908</v>
      </c>
    </row>
    <row r="72" spans="1:5" ht="15" thickBot="1" x14ac:dyDescent="0.4">
      <c r="D72" s="35">
        <v>42568</v>
      </c>
      <c r="E72" s="36">
        <v>-4007</v>
      </c>
    </row>
    <row r="73" spans="1:5" ht="15" thickBot="1" x14ac:dyDescent="0.4">
      <c r="A73" s="32" t="s">
        <v>35</v>
      </c>
      <c r="B73" s="33">
        <f>XNPV(B62,B64:B71,A64:A71)</f>
        <v>17523.654500894841</v>
      </c>
      <c r="D73" s="23" t="s">
        <v>35</v>
      </c>
      <c r="E73" s="39">
        <f>XNPV(E62,E64:E72,D64:D72)</f>
        <v>13940.183426721771</v>
      </c>
    </row>
    <row r="74" spans="1:5" ht="15" thickBot="1" x14ac:dyDescent="0.4"/>
    <row r="75" spans="1:5" ht="15" thickBot="1" x14ac:dyDescent="0.4">
      <c r="A75" s="59" t="s">
        <v>26</v>
      </c>
      <c r="B75" s="60" t="s">
        <v>1</v>
      </c>
      <c r="C75" s="61" t="s">
        <v>35</v>
      </c>
    </row>
    <row r="76" spans="1:5" x14ac:dyDescent="0.35">
      <c r="A76" s="48">
        <v>10000</v>
      </c>
      <c r="B76" s="49">
        <v>0.08</v>
      </c>
      <c r="C76" s="50">
        <f>NPV(B76,$A$76:$A$79)</f>
        <v>-304.94918532819202</v>
      </c>
    </row>
    <row r="77" spans="1:5" x14ac:dyDescent="0.35">
      <c r="A77" s="44">
        <v>-5000</v>
      </c>
      <c r="B77" s="46">
        <v>8.5000000000000006E-2</v>
      </c>
      <c r="C77" s="50">
        <f t="shared" ref="C77:C84" si="6">NPV(B77,$A$76:$A$79)</f>
        <v>-242.25684036084584</v>
      </c>
    </row>
    <row r="78" spans="1:5" x14ac:dyDescent="0.35">
      <c r="A78" s="44">
        <v>-8500</v>
      </c>
      <c r="B78" s="46">
        <v>0.09</v>
      </c>
      <c r="C78" s="50">
        <f t="shared" si="6"/>
        <v>-180.79719811594737</v>
      </c>
    </row>
    <row r="79" spans="1:5" ht="15" thickBot="1" x14ac:dyDescent="0.4">
      <c r="A79" s="45">
        <v>2000</v>
      </c>
      <c r="B79" s="46">
        <v>9.5000000000000001E-2</v>
      </c>
      <c r="C79" s="50">
        <f t="shared" si="6"/>
        <v>-120.54389452858119</v>
      </c>
    </row>
    <row r="80" spans="1:5" x14ac:dyDescent="0.35">
      <c r="A80" s="1"/>
      <c r="B80" s="46">
        <v>0.1</v>
      </c>
      <c r="C80" s="50">
        <f t="shared" si="6"/>
        <v>-61.471210982855276</v>
      </c>
    </row>
    <row r="81" spans="1:6" x14ac:dyDescent="0.35">
      <c r="A81" s="1"/>
      <c r="B81" s="46">
        <v>0.1053</v>
      </c>
      <c r="C81" s="50">
        <f t="shared" si="6"/>
        <v>-0.11523532268666639</v>
      </c>
    </row>
    <row r="82" spans="1:6" x14ac:dyDescent="0.35">
      <c r="A82" s="1"/>
      <c r="B82" s="46">
        <v>0.11</v>
      </c>
      <c r="C82" s="50">
        <f t="shared" si="6"/>
        <v>53.232050020658598</v>
      </c>
    </row>
    <row r="83" spans="1:6" x14ac:dyDescent="0.35">
      <c r="A83" s="1"/>
      <c r="B83" s="46">
        <v>0.115</v>
      </c>
      <c r="C83" s="50">
        <f t="shared" si="6"/>
        <v>108.91099578129308</v>
      </c>
    </row>
    <row r="84" spans="1:6" ht="15" thickBot="1" x14ac:dyDescent="0.4">
      <c r="A84" s="1"/>
      <c r="B84" s="47">
        <v>0.12</v>
      </c>
      <c r="C84" s="50">
        <f t="shared" si="6"/>
        <v>163.50609121199599</v>
      </c>
    </row>
    <row r="85" spans="1:6" x14ac:dyDescent="0.35">
      <c r="B85" s="42"/>
    </row>
    <row r="86" spans="1:6" ht="15.5" x14ac:dyDescent="0.35">
      <c r="A86" s="81" t="s">
        <v>38</v>
      </c>
      <c r="B86" s="81"/>
      <c r="C86" s="81"/>
      <c r="D86" s="81"/>
      <c r="E86" s="81"/>
      <c r="F86" s="81"/>
    </row>
    <row r="87" spans="1:6" ht="15" thickBot="1" x14ac:dyDescent="0.4"/>
    <row r="88" spans="1:6" ht="15" thickBot="1" x14ac:dyDescent="0.4">
      <c r="A88" s="58" t="s">
        <v>37</v>
      </c>
      <c r="C88" s="77" t="s">
        <v>37</v>
      </c>
      <c r="D88" s="60" t="s">
        <v>39</v>
      </c>
      <c r="E88" s="78" t="s">
        <v>38</v>
      </c>
    </row>
    <row r="89" spans="1:6" x14ac:dyDescent="0.35">
      <c r="A89" s="2">
        <v>10000</v>
      </c>
      <c r="C89" s="64">
        <v>10000</v>
      </c>
      <c r="D89" s="12"/>
      <c r="E89" s="65"/>
    </row>
    <row r="90" spans="1:6" x14ac:dyDescent="0.35">
      <c r="A90" s="2">
        <v>-5000</v>
      </c>
      <c r="C90" s="63">
        <v>-5000</v>
      </c>
      <c r="D90" s="9">
        <v>0.05</v>
      </c>
      <c r="E90" s="66">
        <f>IRR($C$89:$C$92,D90)</f>
        <v>0.10531005918673531</v>
      </c>
    </row>
    <row r="91" spans="1:6" x14ac:dyDescent="0.35">
      <c r="A91" s="2">
        <v>-8500</v>
      </c>
      <c r="C91" s="63">
        <v>-8500</v>
      </c>
      <c r="D91" s="9">
        <v>0.15</v>
      </c>
      <c r="E91" s="66">
        <f>IRR($C$89:$C$92,D91)</f>
        <v>0.10531005918673553</v>
      </c>
    </row>
    <row r="92" spans="1:6" x14ac:dyDescent="0.35">
      <c r="A92" s="2">
        <v>2000</v>
      </c>
      <c r="C92" s="63">
        <v>2000</v>
      </c>
      <c r="D92" s="9">
        <v>0.2</v>
      </c>
      <c r="E92" s="66">
        <f>IRR($C$89:$C$92,D92)</f>
        <v>0.10531005918672065</v>
      </c>
    </row>
    <row r="93" spans="1:6" ht="15" thickBot="1" x14ac:dyDescent="0.4">
      <c r="D93" s="9">
        <v>0.25</v>
      </c>
      <c r="E93" s="66">
        <f t="shared" ref="E91:E99" si="7">IRR($C$89:$C$92,D93)</f>
        <v>0.10531005918632652</v>
      </c>
    </row>
    <row r="94" spans="1:6" ht="15" thickBot="1" x14ac:dyDescent="0.4">
      <c r="A94" s="79" t="s">
        <v>38</v>
      </c>
      <c r="D94" s="9">
        <v>0.3</v>
      </c>
      <c r="E94" s="66">
        <f t="shared" si="7"/>
        <v>0.10531005918673553</v>
      </c>
    </row>
    <row r="95" spans="1:6" ht="15" thickBot="1" x14ac:dyDescent="0.4">
      <c r="A95" s="62">
        <f>IRR(A89:A92)</f>
        <v>0.1053100591867342</v>
      </c>
      <c r="D95" s="9">
        <v>0.35</v>
      </c>
      <c r="E95" s="66">
        <f t="shared" si="7"/>
        <v>0.10531005918673553</v>
      </c>
    </row>
    <row r="96" spans="1:6" x14ac:dyDescent="0.35">
      <c r="D96" s="9">
        <v>0.4</v>
      </c>
      <c r="E96" s="66">
        <f t="shared" si="7"/>
        <v>0.10531005918673553</v>
      </c>
    </row>
    <row r="97" spans="1:5" x14ac:dyDescent="0.35">
      <c r="D97" s="9">
        <v>0.45</v>
      </c>
      <c r="E97" s="66">
        <f t="shared" si="7"/>
        <v>0.10531005918673575</v>
      </c>
    </row>
    <row r="98" spans="1:5" x14ac:dyDescent="0.35">
      <c r="D98" s="9">
        <v>0.5</v>
      </c>
      <c r="E98" s="66">
        <f t="shared" si="7"/>
        <v>0.10531005918673619</v>
      </c>
    </row>
    <row r="99" spans="1:5" ht="15" thickBot="1" x14ac:dyDescent="0.4">
      <c r="D99" s="10">
        <v>0.55000000000000004</v>
      </c>
      <c r="E99" s="66">
        <f t="shared" si="7"/>
        <v>0.1053100591867373</v>
      </c>
    </row>
    <row r="101" spans="1:5" ht="15" thickBot="1" x14ac:dyDescent="0.4"/>
    <row r="102" spans="1:5" ht="15" thickBot="1" x14ac:dyDescent="0.4">
      <c r="A102" s="80" t="s">
        <v>37</v>
      </c>
      <c r="B102" s="15" t="s">
        <v>39</v>
      </c>
      <c r="C102" s="17" t="s">
        <v>38</v>
      </c>
    </row>
    <row r="103" spans="1:5" x14ac:dyDescent="0.35">
      <c r="A103" s="64">
        <v>-20000</v>
      </c>
      <c r="B103" s="12"/>
      <c r="C103" s="65"/>
    </row>
    <row r="104" spans="1:5" x14ac:dyDescent="0.35">
      <c r="A104" s="63">
        <v>82000</v>
      </c>
      <c r="B104" s="46">
        <v>0.15</v>
      </c>
      <c r="C104" s="66">
        <f>IRR($A$103:$A$106,B103)</f>
        <v>-9.5909414154996986E-2</v>
      </c>
    </row>
    <row r="105" spans="1:5" x14ac:dyDescent="0.35">
      <c r="A105" s="63">
        <v>-60000</v>
      </c>
      <c r="B105" s="46">
        <v>0.2</v>
      </c>
      <c r="C105" s="66">
        <f t="shared" ref="C105:C113" si="8">IRR($A$103:$A$106,B104)</f>
        <v>-9.5909414155059047E-2</v>
      </c>
    </row>
    <row r="106" spans="1:5" x14ac:dyDescent="0.35">
      <c r="A106" s="63">
        <v>2000</v>
      </c>
      <c r="B106" s="46">
        <v>0.25</v>
      </c>
      <c r="C106" s="66">
        <f t="shared" si="8"/>
        <v>-9.5909414154996986E-2</v>
      </c>
    </row>
    <row r="107" spans="1:5" x14ac:dyDescent="0.35">
      <c r="B107" s="46">
        <v>0.3</v>
      </c>
      <c r="C107" s="66">
        <f t="shared" si="8"/>
        <v>-9.5909414153667494E-2</v>
      </c>
    </row>
    <row r="108" spans="1:5" x14ac:dyDescent="0.35">
      <c r="B108" s="46">
        <v>0.35</v>
      </c>
      <c r="C108" s="66">
        <f t="shared" si="8"/>
        <v>-9.590941415486065E-2</v>
      </c>
    </row>
    <row r="109" spans="1:5" x14ac:dyDescent="0.35">
      <c r="B109" s="46">
        <v>0.4</v>
      </c>
      <c r="C109" s="66">
        <f t="shared" si="8"/>
        <v>-9.5909414154996986E-2</v>
      </c>
    </row>
    <row r="110" spans="1:5" x14ac:dyDescent="0.35">
      <c r="B110" s="46">
        <v>0.45</v>
      </c>
      <c r="C110" s="66">
        <f t="shared" si="8"/>
        <v>-9.5909414154997874E-2</v>
      </c>
    </row>
    <row r="111" spans="1:5" x14ac:dyDescent="0.35">
      <c r="B111" s="46">
        <v>0.5</v>
      </c>
      <c r="C111" s="66">
        <f t="shared" si="8"/>
        <v>2.160916914048538</v>
      </c>
    </row>
    <row r="112" spans="1:5" x14ac:dyDescent="0.35">
      <c r="B112" s="46">
        <v>0.55000000000000004</v>
      </c>
      <c r="C112" s="66">
        <f t="shared" si="8"/>
        <v>2.1609169140534945</v>
      </c>
    </row>
    <row r="113" spans="1:3" ht="15" thickBot="1" x14ac:dyDescent="0.4">
      <c r="B113" s="47">
        <v>0.6</v>
      </c>
      <c r="C113" s="66">
        <f t="shared" si="8"/>
        <v>2.1609169140387743</v>
      </c>
    </row>
    <row r="115" spans="1:3" ht="15" thickBot="1" x14ac:dyDescent="0.4"/>
    <row r="116" spans="1:3" ht="15" thickBot="1" x14ac:dyDescent="0.4">
      <c r="A116" s="59" t="s">
        <v>37</v>
      </c>
      <c r="B116" s="60" t="s">
        <v>39</v>
      </c>
      <c r="C116" s="78" t="s">
        <v>38</v>
      </c>
    </row>
    <row r="117" spans="1:3" x14ac:dyDescent="0.35">
      <c r="A117" s="64">
        <v>10000</v>
      </c>
      <c r="B117" s="12"/>
      <c r="C117" s="69"/>
    </row>
    <row r="118" spans="1:3" x14ac:dyDescent="0.35">
      <c r="A118" s="63">
        <v>-5000</v>
      </c>
      <c r="B118" s="9">
        <v>0.05</v>
      </c>
      <c r="C118" s="29" t="e">
        <f>IRR($A$117:$A$120,B117)</f>
        <v>#NUM!</v>
      </c>
    </row>
    <row r="119" spans="1:3" x14ac:dyDescent="0.35">
      <c r="A119" s="63">
        <v>8500</v>
      </c>
      <c r="B119" s="9">
        <v>0.15</v>
      </c>
      <c r="C119" s="29" t="e">
        <f t="shared" ref="C119:C127" si="9">IRR($A$117:$A$120,B118)</f>
        <v>#NUM!</v>
      </c>
    </row>
    <row r="120" spans="1:3" x14ac:dyDescent="0.35">
      <c r="A120" s="63">
        <v>2000</v>
      </c>
      <c r="B120" s="9">
        <v>0.2</v>
      </c>
      <c r="C120" s="29" t="e">
        <f t="shared" si="9"/>
        <v>#NUM!</v>
      </c>
    </row>
    <row r="121" spans="1:3" x14ac:dyDescent="0.35">
      <c r="B121" s="9">
        <v>0.25</v>
      </c>
      <c r="C121" s="29" t="e">
        <f t="shared" si="9"/>
        <v>#NUM!</v>
      </c>
    </row>
    <row r="122" spans="1:3" x14ac:dyDescent="0.35">
      <c r="B122" s="9">
        <v>0.3</v>
      </c>
      <c r="C122" s="29" t="e">
        <f t="shared" si="9"/>
        <v>#NUM!</v>
      </c>
    </row>
    <row r="123" spans="1:3" x14ac:dyDescent="0.35">
      <c r="B123" s="9">
        <v>0.35</v>
      </c>
      <c r="C123" s="29" t="e">
        <f t="shared" si="9"/>
        <v>#NUM!</v>
      </c>
    </row>
    <row r="124" spans="1:3" x14ac:dyDescent="0.35">
      <c r="B124" s="9">
        <v>0.4</v>
      </c>
      <c r="C124" s="29" t="e">
        <f t="shared" si="9"/>
        <v>#NUM!</v>
      </c>
    </row>
    <row r="125" spans="1:3" x14ac:dyDescent="0.35">
      <c r="B125" s="9">
        <v>0.45</v>
      </c>
      <c r="C125" s="29" t="e">
        <f t="shared" si="9"/>
        <v>#NUM!</v>
      </c>
    </row>
    <row r="126" spans="1:3" x14ac:dyDescent="0.35">
      <c r="B126" s="9">
        <v>0.5</v>
      </c>
      <c r="C126" s="29" t="e">
        <f t="shared" si="9"/>
        <v>#NUM!</v>
      </c>
    </row>
    <row r="127" spans="1:3" ht="15" thickBot="1" x14ac:dyDescent="0.4">
      <c r="B127" s="10">
        <v>0.55000000000000004</v>
      </c>
      <c r="C127" s="29" t="e">
        <f t="shared" si="9"/>
        <v>#NUM!</v>
      </c>
    </row>
    <row r="129" spans="1:6" x14ac:dyDescent="0.35">
      <c r="A129" s="58" t="s">
        <v>40</v>
      </c>
      <c r="B129" s="58" t="s">
        <v>41</v>
      </c>
      <c r="C129" s="58" t="s">
        <v>42</v>
      </c>
      <c r="E129" s="58" t="s">
        <v>34</v>
      </c>
      <c r="F129" s="58" t="s">
        <v>26</v>
      </c>
    </row>
    <row r="130" spans="1:6" x14ac:dyDescent="0.35">
      <c r="A130" s="2">
        <v>0</v>
      </c>
      <c r="B130" s="2">
        <v>-1000</v>
      </c>
      <c r="C130" s="2">
        <v>-1000</v>
      </c>
      <c r="E130" s="74">
        <v>42220</v>
      </c>
      <c r="F130" s="2">
        <v>-10000</v>
      </c>
    </row>
    <row r="131" spans="1:6" x14ac:dyDescent="0.35">
      <c r="A131" s="2">
        <v>1</v>
      </c>
      <c r="B131" s="2">
        <v>0</v>
      </c>
      <c r="C131" s="2">
        <v>400</v>
      </c>
      <c r="E131" s="2" t="s">
        <v>43</v>
      </c>
      <c r="F131" s="2">
        <v>4000</v>
      </c>
    </row>
    <row r="132" spans="1:6" x14ac:dyDescent="0.35">
      <c r="A132" s="2">
        <v>2</v>
      </c>
      <c r="B132" s="2">
        <v>200</v>
      </c>
      <c r="C132" s="2">
        <v>400</v>
      </c>
      <c r="E132" s="2" t="s">
        <v>44</v>
      </c>
      <c r="F132" s="2">
        <v>3000</v>
      </c>
    </row>
    <row r="133" spans="1:6" x14ac:dyDescent="0.35">
      <c r="A133" s="2">
        <v>3</v>
      </c>
      <c r="B133" s="2">
        <v>300</v>
      </c>
      <c r="C133" s="2">
        <v>300</v>
      </c>
      <c r="E133" s="2" t="s">
        <v>45</v>
      </c>
      <c r="F133" s="2">
        <v>5000</v>
      </c>
    </row>
    <row r="134" spans="1:6" ht="15" thickBot="1" x14ac:dyDescent="0.4">
      <c r="A134" s="2">
        <v>4</v>
      </c>
      <c r="B134" s="2">
        <v>500</v>
      </c>
      <c r="C134" s="2">
        <v>300</v>
      </c>
    </row>
    <row r="135" spans="1:6" ht="15" thickBot="1" x14ac:dyDescent="0.4">
      <c r="A135" s="43">
        <v>5</v>
      </c>
      <c r="B135" s="43">
        <v>900</v>
      </c>
      <c r="C135" s="43">
        <v>200</v>
      </c>
      <c r="E135" s="60" t="s">
        <v>46</v>
      </c>
      <c r="F135" s="75">
        <v>0.26419999999999999</v>
      </c>
    </row>
    <row r="136" spans="1:6" ht="15" thickBot="1" x14ac:dyDescent="0.4">
      <c r="A136" s="60" t="s">
        <v>38</v>
      </c>
      <c r="B136" s="70">
        <f>IRR(B130:B135)</f>
        <v>0.17318426166949052</v>
      </c>
      <c r="C136" s="71">
        <f>IRR(C130:C135)</f>
        <v>0.20494783010707418</v>
      </c>
    </row>
    <row r="137" spans="1:6" ht="15" thickBot="1" x14ac:dyDescent="0.4">
      <c r="A137" s="60" t="s">
        <v>35</v>
      </c>
      <c r="B137" s="72">
        <v>815.89</v>
      </c>
      <c r="C137" s="73">
        <v>552.4</v>
      </c>
    </row>
    <row r="140" spans="1:6" x14ac:dyDescent="0.35">
      <c r="A140" s="58" t="s">
        <v>47</v>
      </c>
      <c r="B140" s="24">
        <v>0.1</v>
      </c>
    </row>
    <row r="141" spans="1:6" x14ac:dyDescent="0.35">
      <c r="A141" s="58" t="s">
        <v>48</v>
      </c>
      <c r="B141" s="24">
        <v>0.12</v>
      </c>
    </row>
    <row r="143" spans="1:6" x14ac:dyDescent="0.35">
      <c r="A143" s="58" t="s">
        <v>40</v>
      </c>
      <c r="B143" s="58" t="s">
        <v>26</v>
      </c>
    </row>
    <row r="144" spans="1:6" x14ac:dyDescent="0.35">
      <c r="A144" s="2">
        <v>0</v>
      </c>
      <c r="B144" s="2">
        <v>-1.6</v>
      </c>
    </row>
    <row r="145" spans="1:2" x14ac:dyDescent="0.35">
      <c r="A145" s="2">
        <v>1</v>
      </c>
      <c r="B145" s="2">
        <v>10</v>
      </c>
    </row>
    <row r="146" spans="1:2" x14ac:dyDescent="0.35">
      <c r="A146" s="2">
        <v>2</v>
      </c>
      <c r="B146" s="2">
        <v>-10</v>
      </c>
    </row>
    <row r="147" spans="1:2" ht="15" thickBot="1" x14ac:dyDescent="0.4"/>
    <row r="148" spans="1:2" ht="15" thickBot="1" x14ac:dyDescent="0.4">
      <c r="A148" s="60" t="s">
        <v>49</v>
      </c>
      <c r="B148" s="78" t="s">
        <v>35</v>
      </c>
    </row>
    <row r="149" spans="1:2" x14ac:dyDescent="0.35">
      <c r="A149" s="76">
        <v>0.1</v>
      </c>
      <c r="B149" s="93">
        <f>NPV(A149,$B$145:$B$146)+$B$144</f>
        <v>-0.77355371900826375</v>
      </c>
    </row>
    <row r="150" spans="1:2" x14ac:dyDescent="0.35">
      <c r="A150" s="67">
        <v>0.25</v>
      </c>
      <c r="B150" s="93">
        <f t="shared" ref="B150:B153" si="10">NPV(A150,$B$145:$B$146)+$B$144</f>
        <v>0</v>
      </c>
    </row>
    <row r="151" spans="1:2" x14ac:dyDescent="0.35">
      <c r="A151" s="67">
        <v>1.1000000000000001</v>
      </c>
      <c r="B151" s="93">
        <f t="shared" si="10"/>
        <v>0.89433106575963706</v>
      </c>
    </row>
    <row r="152" spans="1:2" x14ac:dyDescent="0.35">
      <c r="A152" s="67">
        <v>4</v>
      </c>
      <c r="B152" s="93">
        <f t="shared" si="10"/>
        <v>0</v>
      </c>
    </row>
    <row r="153" spans="1:2" ht="15" thickBot="1" x14ac:dyDescent="0.4">
      <c r="A153" s="68">
        <v>5</v>
      </c>
      <c r="B153" s="93">
        <f t="shared" si="10"/>
        <v>-0.21111111111111103</v>
      </c>
    </row>
    <row r="155" spans="1:2" x14ac:dyDescent="0.35">
      <c r="A155" s="58" t="s">
        <v>50</v>
      </c>
      <c r="B155" s="24">
        <f>MIRR(B144:B146,B140,B141)</f>
        <v>6.554621671065064E-2</v>
      </c>
    </row>
  </sheetData>
  <mergeCells count="8">
    <mergeCell ref="A86:F86"/>
    <mergeCell ref="A6:B6"/>
    <mergeCell ref="D6:E6"/>
    <mergeCell ref="A1:E1"/>
    <mergeCell ref="A9:F9"/>
    <mergeCell ref="A42:B42"/>
    <mergeCell ref="B51:C51"/>
    <mergeCell ref="A48:E4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Project Information</vt:lpstr>
      <vt:lpstr>Project Worksheets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Hitesh Jha</dc:creator>
  <cp:lastModifiedBy>Vishal Gupta</cp:lastModifiedBy>
  <dcterms:created xsi:type="dcterms:W3CDTF">2023-06-15T04:20:27Z</dcterms:created>
  <dcterms:modified xsi:type="dcterms:W3CDTF">2026-08-21T07:59:01Z</dcterms:modified>
</cp:coreProperties>
</file>