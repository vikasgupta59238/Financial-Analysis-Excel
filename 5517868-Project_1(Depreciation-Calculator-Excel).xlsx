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b4d4829d12a11030/Desktop/excel project solve coach x/"/>
    </mc:Choice>
  </mc:AlternateContent>
  <xr:revisionPtr revIDLastSave="101" documentId="8_{35B16C39-063A-477E-8955-3C198C29B7F6}" xr6:coauthVersionLast="47" xr6:coauthVersionMax="47" xr10:uidLastSave="{703EBBA8-7463-494E-B55D-DD9268C68C57}"/>
  <bookViews>
    <workbookView xWindow="-110" yWindow="-110" windowWidth="19420" windowHeight="10300" activeTab="2" xr2:uid="{00000000-000D-0000-FFFF-FFFF00000000}"/>
  </bookViews>
  <sheets>
    <sheet name="Information" sheetId="2" r:id="rId1"/>
    <sheet name="Depreciation Calculator" sheetId="1" r:id="rId2"/>
    <sheet name="ANALYSI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3" l="1"/>
  <c r="D9" i="3"/>
  <c r="D8" i="3"/>
  <c r="D7" i="3"/>
  <c r="D6" i="3"/>
  <c r="D5" i="3"/>
  <c r="D4" i="3"/>
  <c r="D3" i="3"/>
  <c r="D2" i="3"/>
  <c r="D15" i="1"/>
  <c r="C45" i="1"/>
  <c r="C28" i="1"/>
  <c r="D28" i="1" s="1"/>
  <c r="D27" i="1"/>
  <c r="C27" i="1"/>
  <c r="D26" i="1"/>
  <c r="C26" i="1"/>
  <c r="D20" i="1"/>
  <c r="D8" i="1"/>
  <c r="D11" i="1" s="1"/>
  <c r="D23" i="1"/>
  <c r="C29" i="1" l="1"/>
  <c r="D29" i="1" s="1"/>
  <c r="D12" i="1"/>
  <c r="C30" i="1" l="1"/>
  <c r="D30" i="1"/>
  <c r="D13" i="1"/>
  <c r="C31" i="1" l="1"/>
  <c r="D31" i="1"/>
  <c r="D14" i="1"/>
  <c r="C32" i="1" l="1"/>
  <c r="D32" i="1" s="1"/>
  <c r="C33" i="1" l="1"/>
  <c r="D33" i="1"/>
  <c r="C34" i="1" l="1"/>
  <c r="D34" i="1"/>
  <c r="C35" i="1" l="1"/>
  <c r="D35" i="1" s="1"/>
  <c r="C36" i="1" l="1"/>
  <c r="D36" i="1" s="1"/>
  <c r="C37" i="1" l="1"/>
  <c r="D37" i="1" s="1"/>
  <c r="C38" i="1" l="1"/>
  <c r="D38" i="1" s="1"/>
  <c r="D39" i="1" l="1"/>
  <c r="C39" i="1"/>
  <c r="C40" i="1" l="1"/>
  <c r="D40" i="1"/>
  <c r="C41" i="1" l="1"/>
  <c r="D41" i="1"/>
  <c r="C42" i="1" l="1"/>
  <c r="D42" i="1" s="1"/>
  <c r="C43" i="1" l="1"/>
  <c r="D43" i="1"/>
  <c r="C44" i="1" l="1"/>
  <c r="D44" i="1"/>
  <c r="D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<sst xmlns="http://schemas.openxmlformats.org/spreadsheetml/2006/main" count="46" uniqueCount="42">
  <si>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</si>
  <si>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</si>
  <si>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</si>
  <si>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</si>
  <si>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</si>
  <si>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</si>
  <si>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</si>
  <si>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</si>
  <si>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</si>
  <si>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</si>
  <si>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</si>
  <si>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</si>
  <si>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</si>
  <si>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</si>
  <si>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</si>
  <si>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</si>
  <si>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</si>
  <si>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</si>
  <si>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</si>
  <si>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</si>
  <si>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Q.NO.</t>
  </si>
  <si>
    <t xml:space="preserve">Question </t>
  </si>
  <si>
    <t>Forumla Used</t>
  </si>
  <si>
    <t>Answer</t>
  </si>
  <si>
    <t>Calculate the annual depreciation amount using the straight-line method.</t>
  </si>
  <si>
    <t>Depreciation per Year = (Asset Price - Scrap Value) / Estimated Life Span = ($500,000 - $50,000) / 10</t>
  </si>
  <si>
    <t>Calculate the total depreciation for the asset's entire life span using the straight-line method.</t>
  </si>
  <si>
    <t>Total Depreciation = Depreciation per Year × Estimated Life Span  = $45,000 × 10</t>
  </si>
  <si>
    <t>What is the depreciated book value of the asset after its life span using the straight-line method?</t>
  </si>
  <si>
    <t>Book Value = Asset Price - Total Depreciation = $500,000 - $450,000</t>
  </si>
  <si>
    <t>Calculate the rate of depreciation per year as per the diminishing balance method.</t>
  </si>
  <si>
    <t>Rate = 1 - (Scrap Value / Asset Price)^(1 / Estimated Life Span)  = 1 - ($50,000 / $500,000)^(1 / 10)</t>
  </si>
  <si>
    <t>What is the depreciation amount for the asset in the second year according to the diminishing balance method?</t>
  </si>
  <si>
    <t>Year 2 Depreciation = Year 1 Book Value × Depreciation Rate
= $397,164.12 × 20.57%</t>
  </si>
  <si>
    <t>What is the book value of the asset in the fourth year using the diminishing balance method?</t>
  </si>
  <si>
    <t>Year 4 Book Value = Year 3 Book Value - Year 4 Depreciation
= $250,593.62 - $51,540.03</t>
  </si>
  <si>
    <t>Calculate the total depreciation for the asset's entire life span using the diminishing balance method.</t>
  </si>
  <si>
    <t>Total Depreciation = Asset Price - Book Value After Life Span
= $500,000 - $50,000</t>
  </si>
  <si>
    <t>What is the book value of the asset after its life span using the diminishing balance method?</t>
  </si>
  <si>
    <t>Book Value After Life Span = Book Value at the End of Year 10
= $50,000</t>
  </si>
  <si>
    <t>Compare the total depreciation amounts obtained from the straight-line method and the diminishing balance method. Which method results in higher total depreciation?</t>
  </si>
  <si>
    <t>Straight-Line Total Depreciation = $450,000
Diminishing Balance Total Depreciation = $450,000
Difference = $450,000 - $450,000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</si>
</sst>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1"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b/>
      <sz val="11"/>
      <color rgb="FFFF0000"/>
      <name val="Arial Rounded MT Bold"/>
      <family val="2"/>
    </font>
  </fonts>
  <fills count="6">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rgb="FFFFFF00"/>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9">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10" fillId="5" borderId="0" xfId="0" applyFont="1" applyFill="1" applyAlignment="1">
      <alignment wrapText="1"/>
    </xf>
    <xf numFmtId="0" fontId="10" fillId="5" borderId="0" xfId="0" applyFont="1" applyFill="1" applyAlignment="1">
      <alignment horizontal="center" wrapText="1"/>
    </xf>
    <xf numFmtId="0" fontId="0" fillId="0" borderId="0" xfId="0" applyAlignment="1">
      <alignment wrapText="1"/>
    </xf>
    <xf numFmtId="4" fontId="0" fillId="0" borderId="0" xfId="0" applyNumberFormat="1"/>
    <xf numFmtId="10" fontId="0" fillId="0" borderId="0" xfId="0" applyNumberForma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defaultRowHeight="14.5" x14ac:dyDescent="0.35"/>
  <cols>
    <col min="1" max="1" width="9.1796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opLeftCell="A3" zoomScale="98" zoomScaleNormal="98" workbookViewId="0">
      <selection activeCell="B7" sqref="B7:C7"/>
    </sheetView>
  </sheetViews>
  <sheetFormatPr defaultColWidth="8.7265625" defaultRowHeight="18" x14ac:dyDescent="0.35"/>
  <cols>
    <col min="1" max="1" width="3.1796875" style="1" customWidth="1"/>
    <col min="2" max="2" width="12.54296875" style="1" customWidth="1"/>
    <col min="3" max="3" width="79.81640625" style="1" customWidth="1"/>
    <col min="4" max="4" width="19.1796875" style="1" bestFit="1" customWidth="1"/>
    <col min="5" max="5" width="3.26953125" style="1" customWidth="1"/>
    <col min="6" max="6" width="8.7265625" style="1"/>
    <col min="7" max="7" width="9" style="1" bestFit="1" customWidth="1"/>
    <col min="8" max="16384" width="8.7265625" style="1"/>
  </cols>
  <sheetData>
    <row r="1" spans="1:5" ht="10" customHeight="1" thickBot="1" x14ac:dyDescent="0.4">
      <c r="A1" s="9"/>
      <c r="B1" s="9"/>
      <c r="C1" s="9"/>
      <c r="D1" s="9"/>
      <c r="E1" s="9"/>
    </row>
    <row r="2" spans="1:5" ht="36.5" thickTop="1" thickBot="1" x14ac:dyDescent="0.4">
      <c r="A2" s="9"/>
      <c r="B2" s="18"/>
      <c r="C2" s="16" t="s">
        <v>19</v>
      </c>
      <c r="D2" s="16"/>
      <c r="E2" s="9"/>
    </row>
    <row r="3" spans="1:5" ht="26" thickTop="1" thickBot="1" x14ac:dyDescent="0.4">
      <c r="A3" s="9"/>
      <c r="B3" s="19"/>
      <c r="C3" s="17" t="s">
        <v>8</v>
      </c>
      <c r="D3" s="17"/>
      <c r="E3" s="9"/>
    </row>
    <row r="4" spans="1:5" ht="19" thickTop="1" thickBot="1" x14ac:dyDescent="0.4">
      <c r="A4" s="9"/>
      <c r="B4" s="5"/>
      <c r="C4" s="5"/>
      <c r="D4" s="5"/>
      <c r="E4" s="9"/>
    </row>
    <row r="5" spans="1:5" ht="26" thickTop="1" thickBot="1" x14ac:dyDescent="0.4">
      <c r="A5" s="9"/>
      <c r="B5" s="14" t="s">
        <v>17</v>
      </c>
      <c r="C5" s="14"/>
      <c r="D5" s="14"/>
      <c r="E5" s="9"/>
    </row>
    <row r="6" spans="1:5" ht="19" thickTop="1" thickBot="1" x14ac:dyDescent="0.4">
      <c r="A6" s="9"/>
      <c r="B6" s="12" t="s">
        <v>11</v>
      </c>
      <c r="C6" s="13"/>
      <c r="D6" s="10">
        <v>450000</v>
      </c>
      <c r="E6" s="9"/>
    </row>
    <row r="7" spans="1:5" ht="19" thickTop="1" thickBot="1" x14ac:dyDescent="0.4">
      <c r="A7" s="9"/>
      <c r="B7" s="12" t="s">
        <v>13</v>
      </c>
      <c r="C7" s="13"/>
      <c r="D7" s="10">
        <v>50000</v>
      </c>
      <c r="E7" s="9"/>
    </row>
    <row r="8" spans="1:5" ht="19" thickTop="1" thickBot="1" x14ac:dyDescent="0.4">
      <c r="A8" s="9"/>
      <c r="B8" s="12" t="s">
        <v>0</v>
      </c>
      <c r="C8" s="13"/>
      <c r="D8" s="4">
        <f>SUM(D6+D7)</f>
        <v>500000</v>
      </c>
      <c r="E8" s="9"/>
    </row>
    <row r="9" spans="1:5" ht="19" thickTop="1" thickBot="1" x14ac:dyDescent="0.4">
      <c r="A9" s="9"/>
      <c r="B9" s="12" t="s">
        <v>1</v>
      </c>
      <c r="C9" s="13"/>
      <c r="D9" s="10">
        <v>50000</v>
      </c>
      <c r="E9" s="9"/>
    </row>
    <row r="10" spans="1:5" ht="19" thickTop="1" thickBot="1" x14ac:dyDescent="0.4">
      <c r="A10" s="9"/>
      <c r="B10" s="12" t="s">
        <v>2</v>
      </c>
      <c r="C10" s="13"/>
      <c r="D10" s="11">
        <v>10</v>
      </c>
      <c r="E10" s="9"/>
    </row>
    <row r="11" spans="1:5" ht="19" thickTop="1" thickBot="1" x14ac:dyDescent="0.4">
      <c r="A11" s="9"/>
      <c r="B11" s="15" t="s">
        <v>9</v>
      </c>
      <c r="C11" s="15"/>
      <c r="D11" s="4">
        <f>IF(D8="", "", SLN($D$8,$D$9,$D$10))</f>
        <v>45000</v>
      </c>
      <c r="E11" s="9"/>
    </row>
    <row r="12" spans="1:5" ht="19" thickTop="1" thickBot="1" x14ac:dyDescent="0.4">
      <c r="A12" s="9"/>
      <c r="B12" s="15" t="s">
        <v>12</v>
      </c>
      <c r="C12" s="15"/>
      <c r="D12" s="6">
        <f>IFERROR(D11/D8,"")</f>
        <v>0.09</v>
      </c>
      <c r="E12" s="9"/>
    </row>
    <row r="13" spans="1:5" ht="19" thickTop="1" thickBot="1" x14ac:dyDescent="0.4">
      <c r="A13" s="9"/>
      <c r="B13" s="12" t="s">
        <v>5</v>
      </c>
      <c r="C13" s="13"/>
      <c r="D13" s="3">
        <f>IF(D8="", "", D11*D10)</f>
        <v>450000</v>
      </c>
      <c r="E13" s="9"/>
    </row>
    <row r="14" spans="1:5" ht="19" thickTop="1" thickBot="1" x14ac:dyDescent="0.4">
      <c r="A14" s="9"/>
      <c r="B14" s="12" t="s">
        <v>4</v>
      </c>
      <c r="C14" s="13"/>
      <c r="D14" s="3">
        <f>IF(D8="", "", D8-D13)</f>
        <v>50000</v>
      </c>
      <c r="E14" s="9"/>
    </row>
    <row r="15" spans="1:5" ht="19" thickTop="1" thickBot="1" x14ac:dyDescent="0.4">
      <c r="A15" s="9"/>
      <c r="B15" s="12" t="s">
        <v>6</v>
      </c>
      <c r="C15" s="13"/>
      <c r="D15" s="3">
        <f>IF(D8="", "", D9-D14)</f>
        <v>0</v>
      </c>
      <c r="E15" s="9"/>
    </row>
    <row r="16" spans="1:5" ht="19" thickTop="1" thickBot="1" x14ac:dyDescent="0.4">
      <c r="A16" s="9"/>
      <c r="B16" s="5"/>
      <c r="C16" s="5"/>
      <c r="D16" s="5"/>
      <c r="E16" s="9"/>
    </row>
    <row r="17" spans="1:5" ht="26" thickTop="1" thickBot="1" x14ac:dyDescent="0.4">
      <c r="A17" s="9"/>
      <c r="B17" s="14" t="s">
        <v>16</v>
      </c>
      <c r="C17" s="14"/>
      <c r="D17" s="14"/>
      <c r="E17" s="9"/>
    </row>
    <row r="18" spans="1:5" ht="19" customHeight="1" thickTop="1" thickBot="1" x14ac:dyDescent="0.4">
      <c r="A18" s="9"/>
      <c r="B18" s="15" t="s">
        <v>11</v>
      </c>
      <c r="C18" s="15"/>
      <c r="D18" s="10">
        <v>450000</v>
      </c>
      <c r="E18" s="9"/>
    </row>
    <row r="19" spans="1:5" ht="19" customHeight="1" thickTop="1" thickBot="1" x14ac:dyDescent="0.4">
      <c r="A19" s="9"/>
      <c r="B19" s="15" t="s">
        <v>14</v>
      </c>
      <c r="C19" s="15"/>
      <c r="D19" s="10">
        <v>50000</v>
      </c>
      <c r="E19" s="9"/>
    </row>
    <row r="20" spans="1:5" ht="19" customHeight="1" thickTop="1" thickBot="1" x14ac:dyDescent="0.4">
      <c r="A20" s="9"/>
      <c r="B20" s="15" t="s">
        <v>0</v>
      </c>
      <c r="C20" s="15"/>
      <c r="D20" s="4">
        <f>SUM(D18+D19)</f>
        <v>500000</v>
      </c>
      <c r="E20" s="9"/>
    </row>
    <row r="21" spans="1:5" ht="19" customHeight="1" thickTop="1" thickBot="1" x14ac:dyDescent="0.4">
      <c r="A21" s="9"/>
      <c r="B21" s="15" t="s">
        <v>1</v>
      </c>
      <c r="C21" s="15"/>
      <c r="D21" s="10">
        <v>50000</v>
      </c>
      <c r="E21" s="9"/>
    </row>
    <row r="22" spans="1:5" ht="19" customHeight="1" thickTop="1" thickBot="1" x14ac:dyDescent="0.4">
      <c r="A22" s="9"/>
      <c r="B22" s="15" t="s">
        <v>2</v>
      </c>
      <c r="C22" s="15"/>
      <c r="D22" s="11">
        <v>10</v>
      </c>
      <c r="E22" s="9"/>
    </row>
    <row r="23" spans="1:5" ht="19" customHeight="1" thickTop="1" thickBot="1" x14ac:dyDescent="0.4">
      <c r="A23" s="9"/>
      <c r="B23" s="20" t="s">
        <v>10</v>
      </c>
      <c r="C23" s="20"/>
      <c r="D23" s="6">
        <f>IF(D20="","",1-(D21/D20)^(1/D22))</f>
        <v>0.20567176527571851</v>
      </c>
      <c r="E23" s="9"/>
    </row>
    <row r="24" spans="1:5" ht="23.5" thickTop="1" thickBot="1" x14ac:dyDescent="0.4">
      <c r="A24" s="9"/>
      <c r="B24" s="21" t="s">
        <v>15</v>
      </c>
      <c r="C24" s="21"/>
      <c r="D24" s="21"/>
      <c r="E24" s="9"/>
    </row>
    <row r="25" spans="1:5" ht="19" thickTop="1" thickBot="1" x14ac:dyDescent="0.4">
      <c r="A25" s="9"/>
      <c r="B25" s="7" t="s">
        <v>7</v>
      </c>
      <c r="C25" s="7" t="s">
        <v>18</v>
      </c>
      <c r="D25" s="7" t="s">
        <v>3</v>
      </c>
      <c r="E25" s="9"/>
    </row>
    <row r="26" spans="1:5" ht="19" thickTop="1" thickBot="1" x14ac:dyDescent="0.4">
      <c r="A26" s="9"/>
      <c r="B26" s="2">
        <v>1</v>
      </c>
      <c r="C26" s="8">
        <f>$D$20*$D$23</f>
        <v>102835.88263785925</v>
      </c>
      <c r="D26" s="8">
        <f>$D$20-C26</f>
        <v>397164.11736214074</v>
      </c>
      <c r="E26" s="9"/>
    </row>
    <row r="27" spans="1:5" ht="19" thickTop="1" thickBot="1" x14ac:dyDescent="0.4">
      <c r="A27" s="9"/>
      <c r="B27" s="2">
        <v>2</v>
      </c>
      <c r="C27" s="8">
        <f>D26*$D$23</f>
        <v>81685.445122044126</v>
      </c>
      <c r="D27" s="8">
        <f>D26-C27</f>
        <v>315478.67224009661</v>
      </c>
      <c r="E27" s="9"/>
    </row>
    <row r="28" spans="1:5" ht="19" thickTop="1" thickBot="1" x14ac:dyDescent="0.4">
      <c r="A28" s="9"/>
      <c r="B28" s="2">
        <v>3</v>
      </c>
      <c r="C28" s="8">
        <f t="shared" ref="C28:C45" si="0">D27*$D$23</f>
        <v>64885.05542646048</v>
      </c>
      <c r="D28" s="8">
        <f t="shared" ref="D28:D45" si="1">D27-C28</f>
        <v>250593.61681363612</v>
      </c>
      <c r="E28" s="9"/>
    </row>
    <row r="29" spans="1:5" ht="19" thickTop="1" thickBot="1" x14ac:dyDescent="0.4">
      <c r="A29" s="9"/>
      <c r="B29" s="2">
        <v>4</v>
      </c>
      <c r="C29" s="8">
        <f t="shared" si="0"/>
        <v>51540.031536887516</v>
      </c>
      <c r="D29" s="8">
        <f t="shared" si="1"/>
        <v>199053.58527674861</v>
      </c>
      <c r="E29" s="9"/>
    </row>
    <row r="30" spans="1:5" ht="19" thickTop="1" thickBot="1" x14ac:dyDescent="0.4">
      <c r="A30" s="9"/>
      <c r="B30" s="2">
        <v>5</v>
      </c>
      <c r="C30" s="8">
        <f t="shared" si="0"/>
        <v>40939.70226832966</v>
      </c>
      <c r="D30" s="8">
        <f t="shared" si="1"/>
        <v>158113.88300841895</v>
      </c>
      <c r="E30" s="9"/>
    </row>
    <row r="31" spans="1:5" ht="19" thickTop="1" thickBot="1" x14ac:dyDescent="0.4">
      <c r="A31" s="9"/>
      <c r="B31" s="2">
        <v>6</v>
      </c>
      <c r="C31" s="8">
        <f t="shared" si="0"/>
        <v>32519.561432939961</v>
      </c>
      <c r="D31" s="8">
        <f t="shared" si="1"/>
        <v>125594.321575479</v>
      </c>
      <c r="E31" s="9"/>
    </row>
    <row r="32" spans="1:5" ht="19" thickTop="1" thickBot="1" x14ac:dyDescent="0.4">
      <c r="A32" s="9"/>
      <c r="B32" s="2">
        <v>7</v>
      </c>
      <c r="C32" s="8">
        <f t="shared" si="0"/>
        <v>25831.205827035024</v>
      </c>
      <c r="D32" s="8">
        <f t="shared" si="1"/>
        <v>99763.115748443975</v>
      </c>
      <c r="E32" s="9"/>
    </row>
    <row r="33" spans="1:5" ht="19" thickTop="1" thickBot="1" x14ac:dyDescent="0.4">
      <c r="A33" s="9"/>
      <c r="B33" s="2">
        <v>8</v>
      </c>
      <c r="C33" s="8">
        <f t="shared" si="0"/>
        <v>20518.456125388308</v>
      </c>
      <c r="D33" s="8">
        <f t="shared" si="1"/>
        <v>79244.659623055661</v>
      </c>
      <c r="E33" s="9"/>
    </row>
    <row r="34" spans="1:5" ht="19" thickTop="1" thickBot="1" x14ac:dyDescent="0.4">
      <c r="A34" s="9"/>
      <c r="B34" s="2">
        <v>9</v>
      </c>
      <c r="C34" s="8">
        <f t="shared" si="0"/>
        <v>16298.389033347312</v>
      </c>
      <c r="D34" s="8">
        <f t="shared" si="1"/>
        <v>62946.270589708351</v>
      </c>
      <c r="E34" s="9"/>
    </row>
    <row r="35" spans="1:5" ht="19" thickTop="1" thickBot="1" x14ac:dyDescent="0.4">
      <c r="A35" s="9"/>
      <c r="B35" s="2">
        <v>10</v>
      </c>
      <c r="C35" s="8">
        <f t="shared" si="0"/>
        <v>12946.27058970836</v>
      </c>
      <c r="D35" s="8">
        <f t="shared" si="1"/>
        <v>49999.999999999993</v>
      </c>
      <c r="E35" s="9"/>
    </row>
    <row r="36" spans="1:5" ht="19" thickTop="1" thickBot="1" x14ac:dyDescent="0.4">
      <c r="A36" s="9"/>
      <c r="B36" s="2">
        <v>11</v>
      </c>
      <c r="C36" s="8">
        <f t="shared" si="0"/>
        <v>10283.588263785923</v>
      </c>
      <c r="D36" s="8">
        <f t="shared" si="1"/>
        <v>39716.411736214068</v>
      </c>
      <c r="E36" s="9"/>
    </row>
    <row r="37" spans="1:5" ht="19" thickTop="1" thickBot="1" x14ac:dyDescent="0.4">
      <c r="A37" s="9"/>
      <c r="B37" s="2">
        <v>12</v>
      </c>
      <c r="C37" s="8">
        <f t="shared" si="0"/>
        <v>8168.5445122044121</v>
      </c>
      <c r="D37" s="8">
        <f t="shared" si="1"/>
        <v>31547.867224009657</v>
      </c>
      <c r="E37" s="9"/>
    </row>
    <row r="38" spans="1:5" ht="19" thickTop="1" thickBot="1" x14ac:dyDescent="0.4">
      <c r="A38" s="9"/>
      <c r="B38" s="2">
        <v>13</v>
      </c>
      <c r="C38" s="8">
        <f t="shared" si="0"/>
        <v>6488.5055426460476</v>
      </c>
      <c r="D38" s="8">
        <f t="shared" si="1"/>
        <v>25059.361681363611</v>
      </c>
      <c r="E38" s="9"/>
    </row>
    <row r="39" spans="1:5" ht="19" thickTop="1" thickBot="1" x14ac:dyDescent="0.4">
      <c r="A39" s="9"/>
      <c r="B39" s="2">
        <v>14</v>
      </c>
      <c r="C39" s="8">
        <f t="shared" si="0"/>
        <v>5154.0031536887509</v>
      </c>
      <c r="D39" s="8">
        <f t="shared" si="1"/>
        <v>19905.35852767486</v>
      </c>
      <c r="E39" s="9"/>
    </row>
    <row r="40" spans="1:5" ht="19" thickTop="1" thickBot="1" x14ac:dyDescent="0.4">
      <c r="A40" s="9"/>
      <c r="B40" s="2">
        <v>15</v>
      </c>
      <c r="C40" s="8">
        <f t="shared" si="0"/>
        <v>4093.9702268329656</v>
      </c>
      <c r="D40" s="8">
        <f t="shared" si="1"/>
        <v>15811.388300841894</v>
      </c>
      <c r="E40" s="9"/>
    </row>
    <row r="41" spans="1:5" ht="19" thickTop="1" thickBot="1" x14ac:dyDescent="0.4">
      <c r="A41" s="9"/>
      <c r="B41" s="2">
        <v>16</v>
      </c>
      <c r="C41" s="8">
        <f t="shared" si="0"/>
        <v>3251.9561432939959</v>
      </c>
      <c r="D41" s="8">
        <f t="shared" si="1"/>
        <v>12559.432157547899</v>
      </c>
      <c r="E41" s="9"/>
    </row>
    <row r="42" spans="1:5" ht="19" thickTop="1" thickBot="1" x14ac:dyDescent="0.4">
      <c r="A42" s="9"/>
      <c r="B42" s="2">
        <v>17</v>
      </c>
      <c r="C42" s="8">
        <f t="shared" si="0"/>
        <v>2583.1205827035024</v>
      </c>
      <c r="D42" s="8">
        <f t="shared" si="1"/>
        <v>9976.3115748443961</v>
      </c>
      <c r="E42" s="9"/>
    </row>
    <row r="43" spans="1:5" ht="19" thickTop="1" thickBot="1" x14ac:dyDescent="0.4">
      <c r="A43" s="9"/>
      <c r="B43" s="2">
        <v>18</v>
      </c>
      <c r="C43" s="8">
        <f t="shared" si="0"/>
        <v>2051.8456125388302</v>
      </c>
      <c r="D43" s="8">
        <f t="shared" si="1"/>
        <v>7924.4659623055659</v>
      </c>
      <c r="E43" s="9"/>
    </row>
    <row r="44" spans="1:5" ht="19" thickTop="1" thickBot="1" x14ac:dyDescent="0.4">
      <c r="A44" s="9"/>
      <c r="B44" s="2">
        <v>19</v>
      </c>
      <c r="C44" s="8">
        <f t="shared" si="0"/>
        <v>1629.8389033347312</v>
      </c>
      <c r="D44" s="8">
        <f t="shared" si="1"/>
        <v>6294.6270589708347</v>
      </c>
      <c r="E44" s="9"/>
    </row>
    <row r="45" spans="1:5" ht="19" thickTop="1" thickBot="1" x14ac:dyDescent="0.4">
      <c r="A45" s="9"/>
      <c r="B45" s="2">
        <v>20</v>
      </c>
      <c r="C45" s="8">
        <f>D44*$D$23</f>
        <v>1294.6270589708358</v>
      </c>
      <c r="D45" s="8">
        <f t="shared" si="1"/>
        <v>4999.9999999999991</v>
      </c>
      <c r="E45" s="9"/>
    </row>
    <row r="46" spans="1:5" ht="18.5" thickTop="1" x14ac:dyDescent="0.35">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BF2F-0590-4EB3-840E-B35C977B8322}">
  <dimension ref="A1:D10"/>
  <sheetViews>
    <sheetView tabSelected="1" topLeftCell="B8" workbookViewId="0">
      <selection activeCell="D11" sqref="D11"/>
    </sheetView>
  </sheetViews>
  <sheetFormatPr defaultRowHeight="14.5" x14ac:dyDescent="0.35"/>
  <cols>
    <col min="1" max="1" width="9.453125" style="26" customWidth="1"/>
    <col min="2" max="2" width="46.54296875" style="26" customWidth="1"/>
    <col min="3" max="3" width="51.36328125" style="26" customWidth="1"/>
    <col min="4" max="4" width="16.7265625" style="26" customWidth="1"/>
    <col min="5" max="16384" width="8.7265625" style="26"/>
  </cols>
  <sheetData>
    <row r="1" spans="1:4" x14ac:dyDescent="0.35">
      <c r="A1" s="24" t="s">
        <v>20</v>
      </c>
      <c r="B1" s="25" t="s">
        <v>21</v>
      </c>
      <c r="C1" s="25" t="s">
        <v>22</v>
      </c>
      <c r="D1" s="24" t="s">
        <v>23</v>
      </c>
    </row>
    <row r="2" spans="1:4" s="23" customFormat="1" ht="38" customHeight="1" x14ac:dyDescent="0.35">
      <c r="A2" s="23">
        <v>1</v>
      </c>
      <c r="B2" s="22" t="s">
        <v>24</v>
      </c>
      <c r="C2" s="23" t="s">
        <v>25</v>
      </c>
      <c r="D2" s="23">
        <f>(500000-50000)/10</f>
        <v>45000</v>
      </c>
    </row>
    <row r="3" spans="1:4" ht="29" x14ac:dyDescent="0.35">
      <c r="A3" s="26">
        <v>2</v>
      </c>
      <c r="B3" s="26" t="s">
        <v>26</v>
      </c>
      <c r="C3" s="26" t="s">
        <v>27</v>
      </c>
      <c r="D3" s="26">
        <f>45000*10</f>
        <v>450000</v>
      </c>
    </row>
    <row r="4" spans="1:4" ht="29" x14ac:dyDescent="0.35">
      <c r="A4" s="23">
        <v>3</v>
      </c>
      <c r="B4" s="26" t="s">
        <v>28</v>
      </c>
      <c r="C4" s="26" t="s">
        <v>29</v>
      </c>
      <c r="D4" s="27">
        <f>500000-450000</f>
        <v>50000</v>
      </c>
    </row>
    <row r="5" spans="1:4" ht="29" x14ac:dyDescent="0.35">
      <c r="A5" s="26">
        <v>4</v>
      </c>
      <c r="B5" s="26" t="s">
        <v>30</v>
      </c>
      <c r="C5" s="26" t="s">
        <v>31</v>
      </c>
      <c r="D5" s="28">
        <f>1-(50000/500000)^(1/10)</f>
        <v>0.20567176527571851</v>
      </c>
    </row>
    <row r="6" spans="1:4" ht="43.5" x14ac:dyDescent="0.35">
      <c r="A6" s="23">
        <v>5</v>
      </c>
      <c r="B6" s="26" t="s">
        <v>32</v>
      </c>
      <c r="C6" s="26" t="s">
        <v>33</v>
      </c>
      <c r="D6" s="26">
        <f>397164.12*20.57%</f>
        <v>81696.659484000003</v>
      </c>
    </row>
    <row r="7" spans="1:4" ht="29" x14ac:dyDescent="0.35">
      <c r="A7" s="26">
        <v>6</v>
      </c>
      <c r="B7" s="26" t="s">
        <v>34</v>
      </c>
      <c r="C7" s="26" t="s">
        <v>35</v>
      </c>
      <c r="D7" s="26">
        <f>250593.62-51540.03</f>
        <v>199053.59</v>
      </c>
    </row>
    <row r="8" spans="1:4" ht="29" x14ac:dyDescent="0.35">
      <c r="A8" s="23">
        <v>7</v>
      </c>
      <c r="B8" s="26" t="s">
        <v>36</v>
      </c>
      <c r="C8" s="26" t="s">
        <v>37</v>
      </c>
      <c r="D8" s="26">
        <f>500000-50000</f>
        <v>450000</v>
      </c>
    </row>
    <row r="9" spans="1:4" ht="43.5" x14ac:dyDescent="0.35">
      <c r="A9" s="26">
        <v>8</v>
      </c>
      <c r="B9" s="26" t="s">
        <v>38</v>
      </c>
      <c r="C9" s="26" t="s">
        <v>39</v>
      </c>
      <c r="D9" s="26">
        <f>50000</f>
        <v>50000</v>
      </c>
    </row>
    <row r="10" spans="1:4" ht="58" x14ac:dyDescent="0.35">
      <c r="A10" s="23">
        <v>9</v>
      </c>
      <c r="B10" s="26" t="s">
        <v>40</v>
      </c>
      <c r="C10" s="26" t="s">
        <v>41</v>
      </c>
      <c r="D10" s="26" t="str">
        <f>IF(450000=450000,"Both Methods Have Equal Total Depreciation","Different Total Depreciation")</f>
        <v>Both Methods Have Equal Total Depreciation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Depreciation Calculator</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Vishal Gupta</cp:lastModifiedBy>
  <cp:lastPrinted>2019-12-30T11:34:18Z</cp:lastPrinted>
  <dcterms:created xsi:type="dcterms:W3CDTF">2019-12-30T10:28:43Z</dcterms:created>
  <dcterms:modified xsi:type="dcterms:W3CDTF">2026-08-21T06:06:56Z</dcterms:modified>
</cp:coreProperties>
</file>